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charts/chartEx1.xml" ContentType="application/vnd.ms-office.chartex+xml"/>
  <Override PartName="/xl/charts/colors10.xml" ContentType="application/vnd.ms-office.chartcolorstyle+xml"/>
  <Override PartName="/xl/charts/style1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asero0-my.sharepoint.com/personal/parvucristian23_stud_ase_ro/Documents/"/>
    </mc:Choice>
  </mc:AlternateContent>
  <xr:revisionPtr revIDLastSave="0" documentId="8_{6E03F86D-F1C1-4EC0-9AB0-DFF95321C031}" xr6:coauthVersionLast="47" xr6:coauthVersionMax="47" xr10:uidLastSave="{00000000-0000-0000-0000-000000000000}"/>
  <bookViews>
    <workbookView xWindow="0" yWindow="660" windowWidth="29400" windowHeight="18460" firstSheet="2" xr2:uid="{CE78BD21-C03A-45FE-A5CB-1E89CA42F258}"/>
  </bookViews>
  <sheets>
    <sheet name="in" sheetId="1" r:id="rId1"/>
    <sheet name="Populatie" sheetId="2" r:id="rId2"/>
    <sheet name="Dashboard" sheetId="3" r:id="rId3"/>
  </sheets>
  <definedNames>
    <definedName name="_xlchart.v5.0" hidden="1">in!$A$1</definedName>
    <definedName name="_xlchart.v5.1" hidden="1">in!$A$2:$A$43</definedName>
    <definedName name="_xlchart.v5.10" hidden="1">in!$A$2:$A$43</definedName>
    <definedName name="_xlchart.v5.11" hidden="1">in!$T$1</definedName>
    <definedName name="_xlchart.v5.12" hidden="1">in!$T$2:$T$43</definedName>
    <definedName name="_xlchart.v5.2" hidden="1">in!$T$1</definedName>
    <definedName name="_xlchart.v5.3" hidden="1">in!$T$2:$T$43</definedName>
    <definedName name="_xlchart.v5.5" hidden="1">in!$A$1</definedName>
    <definedName name="_xlchart.v5.6" hidden="1">in!$A$2:$A$43</definedName>
    <definedName name="_xlchart.v5.7" hidden="1">in!$T$1</definedName>
    <definedName name="_xlchart.v5.8" hidden="1">in!$T$2:$T$43</definedName>
    <definedName name="_xlchart.v5.9" hidden="1">in!$A$1</definedName>
    <definedName name="Datenschnitt_Judet_An">#N/A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2" i="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41" i="1"/>
  <c r="T41" i="1" s="1"/>
  <c r="S42" i="1"/>
  <c r="T42" i="1" s="1"/>
  <c r="S43" i="1"/>
  <c r="T43" i="1" s="1"/>
  <c r="S2" i="1"/>
  <c r="T2" i="1" s="1"/>
</calcChain>
</file>

<file path=xl/sharedStrings.xml><?xml version="1.0" encoding="utf-8"?>
<sst xmlns="http://schemas.openxmlformats.org/spreadsheetml/2006/main" count="108" uniqueCount="66">
  <si>
    <t>Judet/An</t>
  </si>
  <si>
    <t>2008</t>
  </si>
  <si>
    <t>2009</t>
  </si>
  <si>
    <t>2010</t>
  </si>
  <si>
    <t>2011</t>
  </si>
  <si>
    <t>2012</t>
  </si>
  <si>
    <t>2013</t>
  </si>
  <si>
    <t>2014</t>
  </si>
  <si>
    <t>2015</t>
  </si>
  <si>
    <t>2016</t>
  </si>
  <si>
    <t>2017</t>
  </si>
  <si>
    <t>2018</t>
  </si>
  <si>
    <t>2019</t>
  </si>
  <si>
    <t>2020</t>
  </si>
  <si>
    <t>2021</t>
  </si>
  <si>
    <t>2022</t>
  </si>
  <si>
    <t>2023</t>
  </si>
  <si>
    <t>2024</t>
  </si>
  <si>
    <t>Populatie</t>
  </si>
  <si>
    <t>Densitate</t>
  </si>
  <si>
    <t>Crestere Procentuala</t>
  </si>
  <si>
    <t>Alba</t>
  </si>
  <si>
    <t>Arad</t>
  </si>
  <si>
    <t>Arges</t>
  </si>
  <si>
    <t>Bacau</t>
  </si>
  <si>
    <t>Bihor</t>
  </si>
  <si>
    <t>Bistrita-Nasaud</t>
  </si>
  <si>
    <t>Botosani</t>
  </si>
  <si>
    <t>Braila</t>
  </si>
  <si>
    <t>Brasov</t>
  </si>
  <si>
    <t>Buzau</t>
  </si>
  <si>
    <t>Calarasi</t>
  </si>
  <si>
    <t>Caras-Severin</t>
  </si>
  <si>
    <t>Cluj</t>
  </si>
  <si>
    <t>Constanta</t>
  </si>
  <si>
    <t>Covasna</t>
  </si>
  <si>
    <t>Dambovita</t>
  </si>
  <si>
    <t>Dolj</t>
  </si>
  <si>
    <t>Galati</t>
  </si>
  <si>
    <t>Giurgiu</t>
  </si>
  <si>
    <t>Gorj</t>
  </si>
  <si>
    <t>Harghita</t>
  </si>
  <si>
    <t>Hunedoara</t>
  </si>
  <si>
    <t>Ialomita</t>
  </si>
  <si>
    <t>Iasi</t>
  </si>
  <si>
    <t>Ilfov</t>
  </si>
  <si>
    <t>Maramures</t>
  </si>
  <si>
    <t>Mehedinti</t>
  </si>
  <si>
    <t>Municipiul Bucuresti</t>
  </si>
  <si>
    <t>Mures</t>
  </si>
  <si>
    <t>Neamt</t>
  </si>
  <si>
    <t>Olt</t>
  </si>
  <si>
    <t>Prahova</t>
  </si>
  <si>
    <t>Salaj</t>
  </si>
  <si>
    <t>Satu Mare</t>
  </si>
  <si>
    <t>Sibiu</t>
  </si>
  <si>
    <t>Suceava</t>
  </si>
  <si>
    <t>Teleorman</t>
  </si>
  <si>
    <t>Timis</t>
  </si>
  <si>
    <t>Tulcea</t>
  </si>
  <si>
    <t>Valcea</t>
  </si>
  <si>
    <t>Vaslui</t>
  </si>
  <si>
    <t>Vrancea</t>
  </si>
  <si>
    <t>Judet</t>
  </si>
  <si>
    <t>Populatie_Rezidenta (Mii)</t>
  </si>
  <si>
    <t>Dashboard Analiză Demografică Capital Uman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</si>
</sst>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1F1F1F"/>
      <name val="Google Sans Text"/>
      <family val="2"/>
      <charset val="1"/>
    </font>
    <font>
      <sz val="11"/>
      <color rgb="FF1F1F1F"/>
      <name val="Google Sans Text"/>
      <family val="2"/>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1F1F1F"/>
      </left>
      <right style="thin">
        <color rgb="FF1F1F1F"/>
      </right>
      <top style="thin">
        <color rgb="FF1F1F1F"/>
      </top>
      <bottom style="thin">
        <color rgb="FF1F1F1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10" xfId="0" applyFont="1" applyBorder="1" applyAlignment="1">
      <alignment readingOrder="1"/>
    </xf>
    <xf numFmtId="0" fontId="19" fillId="0" borderId="10" xfId="0" applyFont="1" applyBorder="1" applyAlignment="1">
      <alignment readingOrder="1"/>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un" xfId="6" builtinId="26" customBuiltin="1"/>
    <cellStyle name="Calcul" xfId="11" builtinId="22" customBuiltin="1"/>
    <cellStyle name="Celulă legată" xfId="12" builtinId="24" customBuiltin="1"/>
    <cellStyle name="Eronat" xfId="7" builtinId="27" customBuiltin="1"/>
    <cellStyle name="Ieșire" xfId="10" builtinId="21" customBuiltin="1"/>
    <cellStyle name="Intrare" xfId="9" builtinId="20" customBuiltin="1"/>
    <cellStyle name="Neutru" xfId="8" builtinId="28" customBuiltin="1"/>
    <cellStyle name="Normal" xfId="0" builtinId="0"/>
    <cellStyle name="Notă" xfId="15" builtinId="10" customBuiltin="1"/>
    <cellStyle name="Text avertisment" xfId="14" builtinId="11" customBuiltin="1"/>
    <cellStyle name="Text explicativ" xfId="16" builtinId="53" customBuiltin="1"/>
    <cellStyle name="Titlu" xfId="1" builtinId="15" customBuiltin="1"/>
    <cellStyle name="Titlu 1" xfId="2" builtinId="16" customBuiltin="1"/>
    <cellStyle name="Titlu 2" xfId="3" builtinId="17" customBuiltin="1"/>
    <cellStyle name="Titlu 3" xfId="4" builtinId="18" customBuiltin="1"/>
    <cellStyle name="Titlu 4" xfId="5" builtinId="19" customBuiltin="1"/>
    <cellStyle name="Total" xfId="17" builtinId="25" customBuiltin="1"/>
    <cellStyle name="Verificare celulă" xfId="13" builtinId="23" customBuiltin="1"/>
  </cellStyles>
  <dxfs count="2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Explozia Polilor Regionali (Creștere % 2008-2024)</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strRef>
              <c:f>(in!$A$14,in!$A$25,in!$A$29,in!$A$39)</c:f>
              <c:strCache>
                <c:ptCount val="4"/>
                <c:pt idx="0">
                  <c:v>Cluj</c:v>
                </c:pt>
                <c:pt idx="1">
                  <c:v>Iasi</c:v>
                </c:pt>
                <c:pt idx="2">
                  <c:v>Municipiul Bucuresti</c:v>
                </c:pt>
                <c:pt idx="3">
                  <c:v>Timis</c:v>
                </c:pt>
              </c:strCache>
            </c:strRef>
          </c:cat>
          <c:val>
            <c:numRef>
              <c:f>(in!$U$14,in!$U$25,in!$U$29,in!$U$39)</c:f>
              <c:numCache>
                <c:formatCode>0.00</c:formatCode>
                <c:ptCount val="4"/>
                <c:pt idx="0">
                  <c:v>4.5614035087719298</c:v>
                </c:pt>
                <c:pt idx="1">
                  <c:v>4.3999999999999995</c:v>
                </c:pt>
                <c:pt idx="2">
                  <c:v>0.64673913043478282</c:v>
                </c:pt>
                <c:pt idx="3">
                  <c:v>1.6373626373626375</c:v>
                </c:pt>
              </c:numCache>
            </c:numRef>
          </c:val>
          <c:extLst>
            <c:ext xmlns:c16="http://schemas.microsoft.com/office/drawing/2014/chart" uri="{C3380CC4-5D6E-409C-BE32-E72D297353CC}">
              <c16:uniqueId val="{00000000-6234-664C-8CE1-D3627F673AD1}"/>
            </c:ext>
          </c:extLst>
        </c:ser>
        <c:dLbls>
          <c:showLegendKey val="0"/>
          <c:showVal val="0"/>
          <c:showCatName val="0"/>
          <c:showSerName val="0"/>
          <c:showPercent val="0"/>
          <c:showBubbleSize val="0"/>
        </c:dLbls>
        <c:gapWidth val="219"/>
        <c:overlap val="-27"/>
        <c:axId val="1510100031"/>
        <c:axId val="1502410303"/>
      </c:barChart>
      <c:catAx>
        <c:axId val="15101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RO"/>
          </a:p>
        </c:txPr>
        <c:crossAx val="1502410303"/>
        <c:crosses val="autoZero"/>
        <c:auto val="1"/>
        <c:lblAlgn val="ctr"/>
        <c:lblOffset val="100"/>
        <c:noMultiLvlLbl val="0"/>
      </c:catAx>
      <c:valAx>
        <c:axId val="1502410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RO"/>
          </a:p>
        </c:txPr>
        <c:crossAx val="151010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RO"/>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7222222222221"/>
          <c:y val="0.17168999708369789"/>
          <c:w val="0.85863888888888884"/>
          <c:h val="0.6150681685622631"/>
        </c:manualLayout>
      </c:layout>
      <c:lineChart>
        <c:grouping val="stacked"/>
        <c:varyColors val="0"/>
        <c:ser>
          <c:idx val="0"/>
          <c:order val="0"/>
          <c:tx>
            <c:strRef>
              <c:f>in!$A$14</c:f>
              <c:strCache>
                <c:ptCount val="1"/>
                <c:pt idx="0">
                  <c:v>Cluj</c:v>
                </c:pt>
              </c:strCache>
            </c:strRef>
          </c:tx>
          <c:spPr>
            <a:ln w="28575" cap="rnd">
              <a:solidFill>
                <a:schemeClr val="accent1"/>
              </a:solidFill>
              <a:round/>
            </a:ln>
            <a:effectLst/>
          </c:spPr>
          <c:marker>
            <c:symbol val="none"/>
          </c:marker>
          <c:val>
            <c:numRef>
              <c:f>in!$B$14:$R$14</c:f>
              <c:numCache>
                <c:formatCode>0.00</c:formatCode>
                <c:ptCount val="17"/>
                <c:pt idx="0">
                  <c:v>5.7</c:v>
                </c:pt>
                <c:pt idx="1">
                  <c:v>6.4</c:v>
                </c:pt>
                <c:pt idx="2">
                  <c:v>9.1</c:v>
                </c:pt>
                <c:pt idx="3">
                  <c:v>9.5</c:v>
                </c:pt>
                <c:pt idx="4">
                  <c:v>11</c:v>
                </c:pt>
                <c:pt idx="5">
                  <c:v>12.7</c:v>
                </c:pt>
                <c:pt idx="6">
                  <c:v>14.3</c:v>
                </c:pt>
                <c:pt idx="7">
                  <c:v>16.3</c:v>
                </c:pt>
                <c:pt idx="8">
                  <c:v>19.2</c:v>
                </c:pt>
                <c:pt idx="9">
                  <c:v>21</c:v>
                </c:pt>
                <c:pt idx="10">
                  <c:v>22</c:v>
                </c:pt>
                <c:pt idx="11">
                  <c:v>23.4</c:v>
                </c:pt>
                <c:pt idx="12">
                  <c:v>25.3</c:v>
                </c:pt>
                <c:pt idx="13">
                  <c:v>29.5</c:v>
                </c:pt>
                <c:pt idx="14">
                  <c:v>32.6</c:v>
                </c:pt>
                <c:pt idx="15">
                  <c:v>32.6</c:v>
                </c:pt>
                <c:pt idx="16">
                  <c:v>31.7</c:v>
                </c:pt>
              </c:numCache>
            </c:numRef>
          </c:val>
          <c:smooth val="0"/>
          <c:extLst>
            <c:ext xmlns:c16="http://schemas.microsoft.com/office/drawing/2014/chart" uri="{C3380CC4-5D6E-409C-BE32-E72D297353CC}">
              <c16:uniqueId val="{00000000-3233-B648-939E-E72310126147}"/>
            </c:ext>
          </c:extLst>
        </c:ser>
        <c:ser>
          <c:idx val="1"/>
          <c:order val="1"/>
          <c:tx>
            <c:strRef>
              <c:f>in!$A$29</c:f>
              <c:strCache>
                <c:ptCount val="1"/>
                <c:pt idx="0">
                  <c:v>Municipiul Bucuresti</c:v>
                </c:pt>
              </c:strCache>
            </c:strRef>
          </c:tx>
          <c:spPr>
            <a:ln w="28575" cap="rnd">
              <a:solidFill>
                <a:schemeClr val="accent2"/>
              </a:solidFill>
              <a:round/>
            </a:ln>
            <a:effectLst/>
          </c:spPr>
          <c:marker>
            <c:symbol val="none"/>
          </c:marker>
          <c:val>
            <c:numRef>
              <c:f>in!$B$29:$R$29</c:f>
              <c:numCache>
                <c:formatCode>0.00</c:formatCode>
                <c:ptCount val="17"/>
                <c:pt idx="0">
                  <c:v>73.599999999999994</c:v>
                </c:pt>
                <c:pt idx="1">
                  <c:v>70.5</c:v>
                </c:pt>
                <c:pt idx="2">
                  <c:v>67.3</c:v>
                </c:pt>
                <c:pt idx="3">
                  <c:v>71.400000000000006</c:v>
                </c:pt>
                <c:pt idx="4">
                  <c:v>72.599999999999994</c:v>
                </c:pt>
                <c:pt idx="5">
                  <c:v>71.8</c:v>
                </c:pt>
                <c:pt idx="6">
                  <c:v>78.3</c:v>
                </c:pt>
                <c:pt idx="7">
                  <c:v>82.6</c:v>
                </c:pt>
                <c:pt idx="8">
                  <c:v>89.6</c:v>
                </c:pt>
                <c:pt idx="9">
                  <c:v>92.9</c:v>
                </c:pt>
                <c:pt idx="10">
                  <c:v>97.8</c:v>
                </c:pt>
                <c:pt idx="11">
                  <c:v>101.8</c:v>
                </c:pt>
                <c:pt idx="12">
                  <c:v>102.1</c:v>
                </c:pt>
                <c:pt idx="13">
                  <c:v>105.1</c:v>
                </c:pt>
                <c:pt idx="14">
                  <c:v>114.7</c:v>
                </c:pt>
                <c:pt idx="15">
                  <c:v>114.9</c:v>
                </c:pt>
                <c:pt idx="16">
                  <c:v>121.2</c:v>
                </c:pt>
              </c:numCache>
            </c:numRef>
          </c:val>
          <c:smooth val="0"/>
          <c:extLst>
            <c:ext xmlns:c16="http://schemas.microsoft.com/office/drawing/2014/chart" uri="{C3380CC4-5D6E-409C-BE32-E72D297353CC}">
              <c16:uniqueId val="{00000001-3233-B648-939E-E72310126147}"/>
            </c:ext>
          </c:extLst>
        </c:ser>
        <c:dLbls>
          <c:showLegendKey val="0"/>
          <c:showVal val="0"/>
          <c:showCatName val="0"/>
          <c:showSerName val="0"/>
          <c:showPercent val="0"/>
          <c:showBubbleSize val="0"/>
        </c:dLbls>
        <c:smooth val="0"/>
        <c:axId val="1459647615"/>
        <c:axId val="1454129599"/>
      </c:lineChart>
      <c:catAx>
        <c:axId val="14596476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RO"/>
          </a:p>
        </c:txPr>
        <c:crossAx val="1454129599"/>
        <c:crosses val="autoZero"/>
        <c:auto val="1"/>
        <c:lblAlgn val="ctr"/>
        <c:lblOffset val="100"/>
        <c:noMultiLvlLbl val="0"/>
      </c:catAx>
      <c:valAx>
        <c:axId val="1454129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RO"/>
          </a:p>
        </c:txPr>
        <c:crossAx val="1459647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R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RO"/>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_xlchart.v5.7</cx:nf>
      </cx:numDim>
    </cx:data>
  </cx:chartData>
  <cx:chart>
    <cx:title pos="t" align="ctr" overlay="0">
      <cx:tx>
        <cx:txData>
          <cx:v>Harta Densității Digitale 2024</cx:v>
        </cx:txData>
      </cx:tx>
      <cx:txPr>
        <a:bodyPr spcFirstLastPara="1" vertOverflow="ellipsis" horzOverflow="overflow" wrap="square" lIns="0" tIns="0" rIns="0" bIns="0" anchor="ctr" anchorCtr="1"/>
        <a:lstStyle/>
        <a:p>
          <a:pPr algn="ctr" rtl="0">
            <a:defRPr/>
          </a:pPr>
          <a:r>
            <a:rPr lang="de-DE"/>
            <a:t>Harta Densității Digitale 2024</a:t>
          </a:r>
        </a:p>
      </cx:txPr>
    </cx:title>
    <cx:plotArea>
      <cx:plotAreaRegion>
        <cx:series layoutId="regionMap" uniqueId="{F6B0829A-3C51-EF42-85D3-6D15463518D4}">
          <cx:tx>
            <cx:txData>
              <cx:f>_xlchart.v5.7</cx:f>
              <cx:v>Densitate</cx:v>
            </cx:txData>
          </cx:tx>
          <cx:dataId val="0"/>
          <cx:layoutPr>
            <cx:geography cultureLanguage="de-DE" cultureRegion="RO" attribution="Unterstützt von Bing">
              <cx:geoCache provider="{E9337A44-BEBE-4D9F-B70C-5C5E7DAFC167}">
                <cx:binary>1H3JcuS4tfarVNT6p5oEQAB0uB1hkMxB81jThpGtkgjOJMARWz/FDe9u3DexF36se7KkVKXS2aou
h+LGr1yoJCCReYgPZ/oOgPrz7fin2/xupd6NRV7qP92Ov76XbVv/6Zdf9K28K1b6oEhuVaWr+/bg
tip+qe7vk9u7X76q1ZCU8S/Idsgvt3Kl2rvx/V/+DJ8W31XH1e2qTaryortT0+Wd7vJWv9C3t+vd
6muRlEGiW5Xcts6v7z+sdN4l79/dlW3STtdTfffr+2fvef/ul91P+rdvfZeDYG33FcYSekCxhz3E
3ffv8qqMH9sRO2DY9lwHfnx78c13nq4KGPdxpUGQadO4T5BvYqy+flV3WsNzfPt3a+Azqbfab6uu
bNcTFsPc/fr+siv+8T9lcle+f5foyn/o9Ku17Jdn3x72l+fT/Zc/7zTA4++0bCGyO1c/6toDSH57
t3ppHn4SEPfAsbHDEHqYd489x4UcYEoYcjbd3uarH3D58I///pE8+3F5GriDy1P7G8PluvvRPPw8
Loy5DgVl+fbawYUfcNuh2GWP3Tv6AuK0YEpeXCj7gfk+cgeZ7x1vDZqkSPRm2e6zHD+NDHMxx5jt
QOIcIOQywm1qf3s5m+98UJXru+IOINk07hPkdxDZDNwFZNP+xvC4WrXdu5OVuntpKn4SE3Af3HPY
72kLOuAMudQmj0Zux4qBRLJYqZfk2Q/N08AdaJ7a3xo0yW9J99I0/CQs7gHzGOaexx4mHqzUttMn
B47reAj8zyMum69+0JjFnSpWZanb1dd20/PH1eb56B2Anne+MZTO1UpW/Yu2/SdxIgcecRhx2aPp
ws9xogc2wtR1HLSB4QGgPyDIfr15GrgDy1P7G0PkLH9xgf40GmQdblHiPTmS51qDKXY43ijVjjH7
68uy7Afk26AdML61vTEgTu7k3dcEkpXNQt1nL34aDgp+nUPS9QAHKME2HOiAumDAONofiT1K9K+/
vyjSflS2x+6As9311jDqyuQ2qZMufye62w7ytVeGi2DqEMdje7WHQr6DKCc2ekLzIbl9MGmiyyAy
0S+q836wvo/cgep7x1sDaqVWxRqfV1QmBtpCXRdCgr3o4AOXgS65iGy+8wEWCBe/ifKv/9q071Ps
/cBsj92BZrvr/3Nwfl+8bW7m2bt+lptxD9Yz75ANF7CT35ADyl0PIbo/WttiTn5fov0IbQ199gBv
gI5Rq/K1+RjqMcQwcp/s07a3YQcOd6kH7n+jCA8K8uHHguyf+6eBO6rx1P7GEFmu9Iue9iedP8w3
dSBztN2nFOU5HC7HEBs8OhN7J0A+BNpy2gD1xy3W47AdRB5b3xgeJ6/sQOiBSwhFBD8ykv+WUrrU
cTwXg/Ha9usnyR04sv+Efvk+cgeP7x1vDJL5ak3Ib+Zn37L8SSVxDwjGoAQU77VZ/MB2yZr0p08s
wDY038QxL4mz33Jtxu3Asml+Y6D4eZe+NAc/CQk9WJNhjNPvZOS23YI4C0Iwl+DvxMw2JEf5qtN3
5W+dil+SaT8uzwbvgPOs740hFFT5ayIElRXHsx3QjL2eBQN1BqEycrwNAg+O/kdS7MfkYdQOGA+N
bw2FVfFb1SftK9NfiIK+IPo8tQe7RhF36Ca134XiH//9TZZ//f1FYX4Hke3Bu8Bs970xfP6qVl83
K/YVXAuk6+tqi80e68IAwbYdc9ZKRDEmO/WvH0mxH5OHUTtgPDS+MRR84Id1+eKy/EmH4h5wCjEw
fkxL1pHuNhDA9EM/ZlCwfHht1sCD1Tr6sTz7IXkauIPKU/tbA2alVtq6uuvvVAJ7DLYz5WdP+PO5
O+JAqXj2vykI54xRxh75lp0E5QjE+dd//RF5fgeenfHPnuHX97sf/8bAur7L76p1DeoVgcIHQEwi
hMgjPblTanEPMOKcuB5/4se2A7M/JNF+qLaG7qC01fPGAFrm91X/iuAAxWUzAiHzI8W1k1zSA+Rw
B0PKvxecH0qzH5jHYTugPLa+MUDmCaQMr1pCxgfco866APPkWJ77nXWUTAjfIYyvVmXWvpuD+v4H
GcyzwTu4POt7Y+iIqq30qkxeUWNg4wVxbQb1lieV2IYHtvtB0MChlPmE3rY5+yYQbFN60cDu15qt
oTsIbfW8NXwSWalXBWdNvMA2sUdnshOzOQfrfZjoqRTmbL76IWYTP5Lmd4B5GLYLykPrGwPEB6YM
4rXXVBjY8wL2DAr4j8zLTrzGDjB2MOy22F9k+SMC7Yfl+8gdZL53vDFwFl1597UCfDbL9hXSTchy
OGyEsaHE8u21EwCgAwijOYV3bL7zQVXCBNgy2EGWtZv2fbLsB2Z77A40211vDJyrDspir7pHCSrH
ZI0KfmQ0d4wZxGYuMNBQ1t/raUAesxpeXCr74XkauIPNU/sbA2axUrF8XfqMwh5xh9iE7EACygRb
LYBYe6yO7fiXPyLJfky+j9wB5XvHG0Plr/lvL67NnyRrYMMesJnMAT7g2wtmfjsqA/afgvuBqHqv
rvxImP2gPIzaAeSh8Y2BIcDlv2pa6UIUjGD75Ga6dzZWQLcDHsd1vqc420Hykar+0z2wW0N3gNnq
eWPo+N9mo3zlAgCoCsfod/a/8gPk2cwDzmbj3jes5hqY0ryouvu15ejhKdZDd5H53vPGkPmril91
rxg54C5DmHib7PG5FYNu2CtGwO0/GblttQFpkv+o4P80cAeYp/Y3BguYsyR/cYn+pHdxD8C1gMmC
aOvba4fCZMBwwgbmJ2UC57ONy4/F2a8xm3E7qGya3xgoV5BZvmY1eb0vDJQB9k4+ufTnHh8cDHLg
0NJT9zYmV//82w/E2Y/JZtwOJpvmN4bJvFKvCYl7YK+3UuJNhX/H62PQIigug9N/rh8/kmI/Eg+j
dnB4aHxjKIhvp4/blXW60qvuNWvJoCPg4m2H70/uyQGBUjKcQf6+z39bRx7kglq/dfrPv+l//u1l
0fajtO8zdjDb95Y3huBylVfF66aYBDIWDEWxzQ4z8Cnb5g1YM+pwoAf2hwIPAv1H2zS2hu4AtdXz
xvARq9vVa57ygy2Z385WbvYG7NAA9MBzXAxv2V/SFCsFFYAX5fkdZdoM3AHm6QPfGCynd6viRf7w
J8M0mPf1uSQ4Rf7g83e4zDVr47lwJPb7ps1tc7eW5l9/37imP05nbsbtgLJpfmOYiM68vDR/EhO4
bWF9qs/lj2Hav2ECpWWoZ9rfN/9vYyI68Ig/D8njsB1EHlv/rwH5/bsxnu4NCVbtKvx24cjW9Rgv
936zEHAJys7Ql/bXPEzs8uuv7zlHsMUMwrCnq0zWH/MsaXm6lmLPqLuVbn99j8BFQd0A8h53zSXA
nrT37wY4SAY960NNUDNYKxv2CBwWfP+urFQr4ToU98D1bA57QcBCchuO17x/p6vuW9c6HIFjtxwC
xPWJEEqfbno5r/IpBpZg89CPf78ru+K8gsOPGh4JwZfUD+9bPyIDPYdKLCfQ4XAERUEQr75dXcJ1
MvB25//FRslocgbHb4m6k05pi4y5d6PjTWFeOK1gLVUiyi55PlbHjsxCKVEmstpRYTyUySxCLT0f
UPOlruKvLbKaYOJmDLrOkoFNs9R3aGkv7YGeoWT63BYyToVK4mU01KUft/dZXh5aQNGr6IYM7N70
xO8086Xsb2Rih1beH7eeG30cUP6RQ0bLBqGtMl6oXqZ+PlQXDnIE8sxRm5mwa4dJjGl3OUzdIAon
ni56jssgd3NpC6wafUoxy4PWqCKY0k6KmtE0RBnzQm4aGKwYGo/LtCM+acsutGLLOy3UpI/icbqJ
+jooovg8yRUWlir9Go1BSoivubJFNRWzvFHHXBnRRtGi1t6hnXgn5Zj7roWDUlXzNo0CbavjqU8W
FZoSkdfd3NJe0MSNKFo109GYCCynSljuEOqqFcqGzytUvKJOO/ijtELdF61f1lk0q5ukFSkb5klR
oHNVE7nsy+oaOXEcZE2ZCO1NAuXaW05F2gsn9QKqomouNQ2TugiaMbmrIpwLaciZbdo7z60Wiedd
qMaaBCHTvEe0E90QBV2eRWdZa0q/MehcUwc2rptwGvVVEg1fsbLvZeSdpWOaCnsozuPCLoRu89XU
JNdssKN5YisuusT4rtulgHxl5oxnY9DanRagOY6YMnk9uuU4px49ZpaXBs1UXuT10M36KplE1DtO
YDnerEb9UmJ07g5yZhL1oeinz5iCZBYaBTNMBdIapchwnZxKLz0cVTGLCF8QrhYWTcKeDo4oUnJO
ZOWc2lV7PbXtue7bwPOK0HXS06ywTJDZVemX46QOc8w+mbw9KouhPK6L8hN38sDy0GU12WyB4vjI
sXXp60nOk6xo/KTPB1HmyYfEbixhJ0Mi5Ggf4bztQzTGn+PIUYdRR7+oOmqFpd3TJvE+ZknNZ1ZS
fJ7KMogT65DpJlApCo2W0jeyOR1tcoNjElZpcSyTMhNe358xG89VXCx65cU+HB+f5zw6G0h9HZtm
YRRepDaZ9XFsCbBCZyUzCxvbTHgdlwLnExW4TC7S3NxHpo6DVFq/sRYtuFXdS0ObgLUe2IR46ERd
kMzPCvtLQ4pDk6Nz225S3zXeDUP14Bex/hxPuQw8Sy2lzg5JnoUJxknQaqmFo05MF9RZU/h5qxa5
rOfY0BnC6DcLo9ofVdr7LY4aMY7NBRmqj16RneWlFbaUagHT0o71levks34kl03bXLGotYR2mj6o
XXPU6eEktSYl2qFb5Aysi+Vkx9Suvo7VOMcKlhoUwPyiiI8jmTW+VvVN5JUnVuXO09ZTohhAH6Pe
+pJ2w9dI1idt7QR9zE+Tyr2Ih2KeJsOS5yxkNFpKNR1XvZv6nStPBuoFCmRsJ7aQdTQEua5z0XuF
FVZue5PyNux0f2jhOlQTPKBm7FAZ9HHIy05QNZ5GkhZzjnqwcEQJT3mHjmInNtenTEWLxCaHcnTA
iCQBytSSJdFVRPsF6slFxGRIs+RsbDSYW8sVpixvUGmnolYd9gs8+llUHRJTzTvTnTQ1CoohC9uo
s4VtykpEufTzuLiYCjkveA8GCM8nll7YGVnYljVP8lqHzJk+yYrNpec1IEI0SyN61I48NGjw3VEd
WrET+XlPa3/QTtjb9afedkTdlteSFx+6KT00bT2AcNl8Gq1Dx21Px4GEPEO+q6Ip7JOIBbTH84Qm
h7ywruOuCUY7u03UMEvLKkiT3AhTZBns8rlPhgBMsDApYaKPIrAjrR1G7TSA0eSz3mnq4zhW0ld1
n8xHLXkY48mIyhnvMM9t35Hmq27QVT/1V1xaUvSSX+K2PCsyTwrP4rGoTQT2SzLqt1Z9zm2JfIPI
5A/UpMdFW963ZZ752OuWZm1naZc7wjPZXWN4scTaaJ/X7cpr+UfdjmIi9Nzm8mvCnU70CgkJxlYQ
xxlmqlbzjIC9b4Yunimozc2Y1Z8UhoZYNsLlsfErW14VaXXW69pPy1qCGQU5i04HijGYm9S7oDEO
TcGuJbFyP7H4jLlUCjoQZ85yLEYvnjuVOW1qa9nG1rFtp5e1aj4mJK9F1mHjk2oK06w4QSQtgr6B
2SvK+sqq8lmaoRAp93PbalvUZWH5pFDZMhushU0cJSTOqYBybx8QprpQ1z1ekkhdJKNxzvqhk0c4
5p0/WLkTIizrIMoGsiC1jXwv681MZaU8TEdS+AoMweHUUHLGig4JSPoLXzuO5U9Z9CVK6vaEJJE1
0x3hoo8LLcoOJnrsZJeKqdadYCS6pG1Ew6mRRzFSUiCXN4us4vooakmyiBxwmLKJc+Gl7tHkaeXX
lbnOM684QjHGwtTWKKjTTL7ToSmwsm5Ran09MkWEzpNlz8BS8MpkQWw3FzaFX0pTfY67aEm7zBWN
blxBSXoqqXVUkAgLGvVDgBt8zMeEilEnV1NiVz41dNm22SXcMZGIXqvUzzisXTxlolPUr5s4XsqI
/1ax4dZEYIlYxzvhGn7LXT1zG/uUDuiirbLTuDcBaG/gkKk+riI3DeBAi/FLpkTOx9CwVGSjmpV5
NPgYQgs/tkctGk9et7REJ7Qd6rDXbRNipRvR0G4lE+fSsmBRuA2FhZmn3azpGYRXPXVOW+KYCzer
bKFMflvmNSxkmp61nNUrjS0lEpMfmRgEcsfE9Ws5XtQm1UKiyROu23zqh5rMG1w0IoHYFKK0MvXb
KWJncczP8KSueGPTc8vrHGE8Kv1I5dbSJE04cfK5Bz1uG2T7qCDHRt901oj8snJcwfJyxjiRfj1N
qzjj1lHfNKuscyBwQOllwTzp23VzzhNVnpF0CCzJo5lFweWNblh3Q7asJYQ4Q7Q0bn6qZH/tVdMN
TrIu5EU8ryg6TKJ+WXKTCTe3PvHRHFE3nQJZxqsqnjrhDdV4Hk3oAgHuRo31InH10jLeid3jGz3w
E8yt0k9TuP7CRpXP8BgLOIEkUkrqgLZK9B0blpSaGxuVhTAOh6WTNR8b3B72KBpFGplPYFwS30uz
3yZvaH2jurM059eoVIdjQUG7CD4yfFQhxdNxxsxho9amE7ezcpDntun9wqoKv5NJIazGPdJpXIsy
09iPx9FHeS/6NDplNVl0fVr7yVBfJlF6FWktRcmq44zmR70pjBhkPldE1r6thtzHTXfdp86yHNqV
BKN2kakmE9DVBTRvfJR1R1Vx40BAy+wmDoa+wmJSFBQxQidR7s0yxr5YVvQ1tbNrYserJqKrFHmx
6BNYPXZfz4uWFqKCPAsyBNOL2ClD0yru55bVz3KvIsKKh0awxKrCFEXnEMDbPu066WNdnVqwRihp
bjytTyCAEZZFjxFiCxz3S7vIfFMP8zTqj5PcnntWbftlqtszplTuW5kSrOL+2KN+7WIWZQWrPinY
lwyZzzaLeFDnniuGyTg+xIgwJVV83yHqLpGFPoE/r0+8ppwC144/JvEphugiaFl748j+k8ZgWobG
u0/tCcydylbIjN0sTjKwOKOFBUlyKaIom3sDv2jTaelE5Yeiy2D92N41R+y6rCAES3AVIJrfW3A/
4H1iJRmIXOXCjlwS9Khl4ejWX2TPQq27yk+x/q3I81MIN4lAKDoZJNZ+q1PuY+XMyrQKOdbnLlwI
Gg6FQScTB7eFi+EiKxsrUAVXIobIZftqzGf56W1VT5DnycfLSJ/+/MtZfVdeterurj1Z1d+uzPze
9/zP7zdqrvPyp+s1d3L9y29Xnm5y4p/p/MMsATBpkDb/Pkuwc8XfI7fwMOqRJUDAlcIJgvVddevb
G9dbph5ZAvsAQYWOcjj9gRjDBLYYblgCOAQHfBEceIc3uHAREQixYQmAUAICj3NgFaBODtuwf4ol
WJMez1gC5AKJ4TCbw5IisOUe+KltloCx3qkrsE1+3Dfzbop6kU3FtV05UahUvWirJigsLw+6qOwF
arxFmjOI063juvJmHWGJaGR83JI2sEkihVWlSMDFSgvu8mGmSVeJrigg2SrcPEDdFPtUj2d1aS3I
oENS1mMwdvHnrgJ3kNHyQ4pk0JXFlcLOeV/b7EQ5rF5AlIZPG9R+LD3LCiF4nVJhulL7SdQEMq4z
oV3vA8mGlAWxZVngDVMj6ljdjKWTLrqkP8Lj4F4NZdMvojjP4V3yKIq1r4dcJK0r2tg5jl10EyHu
U4sDt9HfYbuZkbGSt1qWKl7n2AvIIKfAbpssNBB+zF1lxqOsg8CT530hyrbAAR514Veo6nxDko8G
4oxggDitKYbrglBQ5CFMYjor425us/KuzGQIweNJgo2QvfZTO6oPbWBtJj1BfumFNe5mZVUs5QQZ
m2YLplHYVt6ZjFr43ZshjZexlWkBMRq71oNXzpR0prlO+jNuxwYiWAcvBsj2fePCTLl9AZkDAUhd
U3q+jbJSUHsEe5pCaku94VrJ+qiQ3jUsyzYY2hTyFlffEyQTMRVkhmr5EdejLST4SOEULhh+5fJJ
lLDC4EdWLGybfamH9HJKrUyMZLgBEmsM67SNfW43H3FS66PKrT7TWJ8mSfqB5/yo74dr2nkLk6Wd
yE2FIlE7TXGIESrmcIdNG7Ax8850F6dg6JAlWjZ6ftsSG5aic8Kq8a53eHkyVpChTXnpLfRojknP
D+syncuYzSbWBiMcLBUTatL5BElbEPUkEYMznkVtooH0SQvfM2jZVZCVayuGwH+8V668Z6b8kpH8
CHvNcQ07h4LIG7vAwc1wMlJwepYLMesk0zNgDA4b016WuVyH7e09mPXxROWoDEob/LuQA9x0IUgG
C9gupoBFkyuyhMzNWF0D/bMYWXZUG9cETdYcx1kWcGuogriDCN1F44fecv1h+irBdYrUzk9Z1JyP
ul5M3viZ2daZlfOFqep7eM4PtKxvMDJ14LUQkqWRfSmLuhBTl0p/iMHPktjFV2nJ22sPq2TRyJ7M
MmOAASuBJBwxOJDaGVOIHL3fgM3jAU7JjHVMB04fn5RNyo9p20Om2bU4MBB2HJWJvk6pOU+IYaJM
BjssTFPD0hwin8Tykxkmdmj34IvcCRFgJu0jKx390vOu06j1/HQCV9+xZImbHoJUL+aCN/WhKfNS
2DJN/DTOzpq+XcQozsFyDFNowVSEwG4NkKQXF03J3KPCbhY1cd1LU6N5XzrAU6D4tuDxuUPUvLLN
scFWEkaOF/ZoAFLHixs/n5CfJRZoQFWeyhTmG9PRLLNczabYzsTUdGDGXPe2ZcYvnAZoMmWxAJcQ
+BjQC6FoedZIYvxBgmFp0vyS2Pp0AiZ1QjX3J2M3/tg4WDAtsyBxu/uB0EPppsdp2X2UlWsFJu2O
pqGYKeBGwH9f2C0pQuwlsUjcFvmE6ussg+yqSpLASSJPgNlhJ9oxQ2ByL2REXRNNYaVOJ6XLL6OB
rPLEnkdJAtptbjvWBd5YQEqVk/OpsE/TIa38blRUFBkO8QihoZLFPW7jQXRuMx/LKTnycA4EiBOv
ItyewDb6c+A2bvr03rhOM1+f4555FT8jXtEGJC9PaCmDcWw/RyoNWemeWZR+rnWyyLR7ghqIpd3E
2JA35xDGNC7wWhVk2W7cHMKporlWDDKpHDXAlOIPrG/60Izk0HDX5ymFABYmUGgbshll90iUDoRl
sHQ/1aisg2mKPuDELfxeAwGWlk0l4s47bqe8gFw/jYPaihRE/JFvweMKoCtSEaPWiKbtPAEHzkDW
ehRDH0FUrYEhr8csn8nBcfzIEHKCcf+xUzLz41wfxk5biUoWdznweQEyEC1nHaRONuu1UKm55HFZ
+32TnJu8NgGExrWo7aoKkqYA+1TpCwgWJvA9OJ+ZDBf+ZJUzOy1mUhdnOiYXwNGWgpW4Fl3bTWC4
wIDXsr+PU3IYSeYEMs2Bvhu9D652vtDcufUse9l6be0bMy246k/thi8KWad+tU4UKgPIl5ENQEd6
9PuE2fAD9z5hEaTTwEhm2lu5cFl8Pfosrqy52xPhMgO0YzXz8vy86OpLkkPMWudFLOy2nzmmXhYy
DUa1JrdRbi3SJqOiqYA0oX1FLjnPz9rCHX3uVlloEQVsIsHHjYdOkynLZtxw60wnabNMWbQAOvCr
ivQ5Z5CcV7G1HIqCi8xy5WKAnLgfCn5U8IqeeY5JfAiskk/Izpcqzk5G2Z0nGY5CELSEXCKD5dxf
q6g2Yhzo0dDakE54CogKCovDsfCQirHNSAgn2e7R0Ao6dV84Ml+Hqmk/o6k7s2NIsbA1XvRWNfgs
zT6POcUiJ+QziH4aga+CK+yJzxovhemhNRDPTTNzFRCvKvbIB944eslQC74YHKKvVPahj2sHcq0E
XDFxTjiqhtBx+iPW9R9tRBK/BotTwXupVC2kQe0VAx0bOn5a193MmPqsi9C51VT6sB6tVmRD9WlE
aPpaNpADpZqnVxnXncjKxBYRtQqg/0HkAWiUsJC93yiSCpKPn+jAj+2or/xEjSes7HOR5kBmxBWA
10WwstXY3hDw7WDua+LXpUd88EO3LuoqoNDAxpR284nGtkjgm1wP1Gno5bQmdnrhVvVpj8ArIrcA
S83bpW5j4kctX+gIck2oUl/VjTeHe8+OEx4tIuWsMopLqAUM7tqbdOgjiqQXdIYdyrTlSMQcJtou
PB3muT1clFlEwoFbao5c8GMarcnPalwHPl6oeFksBostSDnEn6Tbq/sm7a0VlJXQNXaARx6Lms7j
BM/LkX/MZOl9sUmtZrRomHBt+TGH8FvknVeGuTtUwIwpa664HR2SqWtE2ct7BEwGrKuIzXKLwXLq
YhVWcXWngW4CfarMYcnjPCxGHgWoqk6nEeIMU08MZgHNgd/BUIzDX9oo/dxGxvgJbo8YlCZ88LCh
PVban0YGsaSsP6S25sJOayAUpQf0TEaC2G1habujCcu0+W2ouL1kVsvDylPnjTut6sRJfUUh+8zc
eJpVEmxWqjt2o2Q38wq2jDk+jKrhSJHSFSUFviCr0FeZ1ce6XOekyUTUEdJ9FhZKokOIvullOtmJ
71h1KXiWnafAaQdQmVzqjKGgIxJdZHbRNX6xTpelyZOwZVlYxyPJhAQ2N6X2nWMntzirgybny9Lj
R5pHwCUlCPyY455HLJWQIriF4LFznRKtF0neO/clhHEV1Z6fVDmsRHuJYnsxFS5Oob5imvmEedhB
hRE4w/4LKrEEGq+GLJ6Z5Jg5n6lEgdSxKCeoaXUO8gEPcuSpLAJypNDAllNO4T+GkL1T3dDcnaQY
TQNcFFT5TlszsY8pii9wPN3mKfHBZJyWkJL4Ms76kKLOCqZO16HhfVeENSXWKSlckGBww8Trlz1B
NKyIkYcOlFghGM7MCRl5K/qenORmMoEHfLXfS7r0/pe9M2uSFNey9S+ijUkIXhl8CI/BY8oYXmSZ
EZkCJCYJJMGv78WZ+lSb9TXrx2v3PhyzOpUVke4gpL3X+tZm8+5CGVXjmvjHWMYkl4MMX2mXpH8M
lyhwzDBFr4pDYAa6ziqXCP7Zul/SzmUXpi+ZmOKjSuAnNO3cl2aZ9SlmSfhA0fS/Tl1nLvCHwg8e
180VX2r85Xh0F4gMUiFJrmh71MOa1D8jfJIvnc4GZ2Q48mM4Qr9aWijZnRP17q+kKPytsnecYI3N
W3AzrKQkg36Vk0EVXV/Srn+NR/s70cLlxOlX6iX3NJ50IYgoVb3dcmM+MuPEoXZ0ebNki0+CRGvJ
1+bdxuJmMuwQduZphpOXG+J+JHXwC8ZLUkA6+8hScazZpMpYCHogEqro4hHvmEG7ztXij5csVV0R
bj3kYbZiD1yINx2nhsHnojznveeXo7P1M6H615ok8mi0nG8sMyj35mQ7NAQCqaQtz2thc+tpXs3b
vjs26VRhT3zRi8D9l68mja9Nmr2tQ9ugduUvckm7Gyh9Mdb9qLGhmOwUhS6sPO2mZz0P30tC5wZX
NEhex7afH4HEbxWd6nwTjh8oLFXm8TfBoov09u017Kuxjt9V5h37FOvTMza6sx6qPrZx8tqJwBzh
RC4l6dd8I+sAnyb1q2wZfpoJ3smMGhhLBt0SHoA8rDv/9f8JdSejFHLH/6zu/HVm/F9AkL//6L9A
EMjZeGEKotUhogvhf0k8+9Q1SDUZ5t8i8ANc8d8lnhAziTGSjeI/gCyEH/oviQeMFqaCoF8GvrH/
0T9Frr8IbaBf/vH//wKCJPhNf5F4YkzkhwLlQzCMsJftf9O/Szx8JVHnOI8KGndt0SyxKkO2sTJT
qcwFlv0FGtR0AllRwzxoLk0gaBWl/Nntzss8omFEcwMRcdmdGbV7NJZLfmT1Nt85GDhqd3LI7ul4
qQshEkjyYAiPbprd+5l2Fyjd/aCYxbszBI8o2N0i3sJRDHcHadm9pHp3lSLYSzD34DMlbqlIAu9J
ujHJt92P0hk/83ET52H3qsba+vlC6UcDG4vBzgqVel52f2tJhq6EXX/H1Vb5PN2KhA1jPsAWS0P5
pGGTofO4CWGbZaI5ppBnksQLjl4I862FxcZ3r82bsxd8icoT3uO0u3GhmsvQ203FFlWMhWWHffWh
h4UXLHKDcjPlS0grE7s7YzJyQIHND4IFQw5N6GgnCGKSRzNcIDhgCzqhDcbhFKfXGUaiS9gbhbFI
Y1zoBKLMGW7E77VFvbjuPqTS9qx3ZzLspj9m9yqhDa+FHruw0DAy1e5oDru3SSiEi6XmTR7C+Fxg
gNLdCVWRe/ZN/IzC83szkw8Mxv/NpxBy/+6jqsBdUjbWxcxidvFH0RQs6Q8dRnvjPKaohxhDVz6s
uZf10AThtBY6YV+Z0D+tU/BcoqNOKDTlDNa4X+eAhb4k68uE0/t6wQEyQl7KwrrPYVsDgqmTEmOj
i5nIM12CqkuT92ghFE7yWFfDdFnj6Q8VW94OHeiBLoXHA7/oqcm6pRpc89GuPfAlRt/GepvKeIGV
QGh/WaasalfxHUTZi0s3dCXMfGwGe37cu6sKg2esbtxh41/7DHt67U9oGcyxrSE7QcEsQh3DbuHH
KeHscWmGyzTjyKYkPXtTf4n76N4NKA9SPf0ZZgGRsuItJKiszyO+hOif2Rt6fnRQtR7yQPBiHuVc
Em2OowdThNtG5SrmEZQgup3rYbAnUC/XaYtgwDcoNz3TdfC8cBbKXlwkC9YiNhr6Hu5pOXNIQy5Y
ssM2pk8q9mjRNuJZLQYdyvJICSQ21rHPeOA3q5nH3Ea+y4elPUXxnOa6GZOKx5tExZHa3BfrJYSu
kktP/ZFefK+FfYRSii4nFR+tGk4koyvUTPhHiskvIsjdgrtcdgIq0brAuqF9XIpu93AmeRcEKAPb
ht9pM571FLdlvIGP6iS/pUO43aHC3oppbIMim5v26hl6RWz1KyPW3CPIUoihpXnopW+m1iMcvC33
5vU3xitBdQRaUYx+79/SJH5SDYWdMXUovS2sGFozKM/uq5nFd+jEehC1NxWLvw6Fo9IVrpfnLhwh
RbKmpNF07qPusQm3+22qoZykr0Sp/gSd42nsg+fQGH4Fd4OG2NAbvJXp1hvBvBGr/0gmHmw0XuXg
22M8glLxpE+ruR95ocPuVcKyzbu4i25ngwdk3cwtsAuYvn770LHhEA8TnsJdujKxlw8wbqCSBY9c
E9SfSQM5s0kKiCEXzgnc/pYebNjfx9yX6JbmYxavL8vYumqx6dFmbM4HeKNJ13igM7JCtfR3prdD
vYY3EuJJ6Ufm2I3ph55sKRSpNr7eq8yeoIpiBfO5FBF+j/V/r1n6Ld1yJMkORxA8wx14rpaIi0q6
IXdgLvLeZR9GL6VMYzS+/q0Xce84E3FDG/XR9bgF80Y/+zi7rJ5+ogLLqnObqPp0KedYfKc1NcUw
opoSQ0TyaISt1lm0MMPV86ZrvQ1P86oKII7oJ+KDnchXh1boGBMo0CmAFalgUzQ2m/LNDCdgGvi1
ROZRG50SI7EAyfdEzeM0ogc1bXZD1IRut4+f1gSurV/PcQ5F7zgz/7pvAf7UV2LJWB7o7gyN6FpP
7W29NLc8kB+s9h/5LHkxUPmc8BoA0l6faQocgVxF8osAskC7m5YqIl8bNjIbihuMNbptVo9iVUAL
dBAGaXs7LuQ8Ddt7F/s/YB3/iDXs03g2Td75GZjH1DwS4Idxv94Yk2KpKHxTC7ddirgYuP/qOvbo
L+TUM3yfLia3o+dfZcpLM2df8DYKPKgLVg3cU9HceuuaFkA3dcFCdZlne4OeG6jHdmqa5NyK5Mmm
wCE12Q7G+j9tJ55kFt4sI7lDh/4V0r4/TCx+2FRCDlm//VIhzk7ikXeKtQ4Fk3dlEo1bZeUA2xxr
EAr1j8nnDxrcYwEr88UjYi4ouKEmCb6F72AriPGGJTw+tsm0FN4UoaymKfAbT1c9j3FCqu6igwBP
UQQtjjuy5XyAnBZ1TVSykGr8U3cmbnoPZqCZZtKu9AY80mpaf9Vu/sk1BY+n+qnaxg32PFpr6B42
KqZsOXHqQdw1kA2TFOp2q6HhuXCGn4VTCzrVAafXC+26m9BgS8FZn8e1+oB78UHrAS9QsmcXD8CS
NiPPOJu/wMc+2A5mCsw9VVqLdkhYnPjgTtH06/7FMO/IuiQocYGmM1Gyy6d0AqDStMB7Jh/tpbfU
lUzUOasbiIys347dyr8SveOSS/O2JvZIsudpiUFpDt1VC+/BjSnstHR9W62p6NAdksnAZWgspOGG
RQe4dzWOgWGnGMhnl6jXyTavJmpgndfYhHhQutq/r9PhiO0nyGUSbDn1JpmH0dwWLBK3zKr7MVmP
4dT/UOPwCmnyi/m6Cnxxn8CIPi5LCmqHgGHoe3lZQ3cQUXDmqn9EeVWCwXpV03LFJ1YgDiS60MTd
LAs7ZDrhd6x3fTkukGCkZ3BOc/VglPqhgLhOvv2llumW9CgBmtY78zA+xDT+HJbtbWqIzSPP/uka
mDv1KtZcBO7XosNzqN0LkSH4mdBCSyAMrhq9rsMIP26b0MiNmflqJ4mSxjyuTfJTdKAFLP1FyZqP
Zr6dE1pErkWTGehfSx8e1tH/jheUBamyHyuODdgT7HVp+vvIphDZhiXv2+6ug4S21eaBT/RkzfJn
acVjm3Tnzer7vgVwyMn6iJf58Xz1yAs+8r1t5ndGULRFgv1cPUXyOONZHpoQEGSc/OR+j4M3a08w
DpOihXYmou2kdPwLpaCuVgmNoxXgcKAoVwkf4YTGgGZkrR+dhSALcwoaQWJsYbMR1aWHQn3r0ILK
gYlywkj7U98p1BdY/XF89AZcIgmw+1hHbRF7kJvB7vSo74ANewJXBELjl8Qn9Ft3iqnYRehJFVG6
jCBLlzwIObZjXI1gOEwgE3MQ1ADKABBPcwrvRaN+F68tU1gAmz5bMp42oufcl9kPCush7zcJq80/
zt4Q5JGRj3IIunKut4OGuiTmTFZjFqGb9SR+ylu8Gxt+gfbKShFgk+i9q4WcV0SE/Xak/dWFMs0H
DU1pEqi7mm28j2todS0oxIz8oW14IHH9PEGwYxM7ibjDMoJkmoggn5YOG8Qzp33ehA3+F295GIzL
KRQbquQAODJN7oA8qQIF6KOQQXOU3lLFAJrSQagClU3ZD+lhXcHVZXCmawnjTC33WQM9puuvNdPl
rNoPQBZHh4vuL5HI2ym4SecQKiWpXOqxsg6a82LD5zHIjqiYsL3RPyOfq0mz7Fgrd4AN/zDW0TPl
aSV2+K5Z5SlLhjNUgiXvhr/D+SpvNwYwvYcrOBovX0mHUnvDPQMwzbesu51d9DHM/p2m9lczWNjb
fL7WaXNO5+ixH2OGlRghFgDPe3kRZDmvan0MaXMaBYj82e/hjiQl+JcCjOYh49D0lTuqurnvG+8+
MqFfrlmAl88mUTGI9GmWFv1VdGJb9C7ldqcn72RmsFob6qA4e3NK4LkPLotPz3PkAf/1+J/MYyh+
g6wp+iCaj1McPXSJm3IcPScSZQ/MD86zTy5s1DgvuUAcIDLn/722cffPd/P+FVP5W1f+XwzL/318
S+RjiP//SQH512sN/138+MdP/UP8iPb3+yLJkhDgIwRvzvgX3xICYvGRZiEEdAtSMtBa/sm3pP+B
VzaAcKHQJqCN/HsKZp+HtqfY8Ovw1jPkpf9X4sffUi5/ScHgF2HOyv4K4hiCy39PwcSzt9HOctTX
AhXBOHePFJz6OOnDCAUW1WQKr8M+DD4TeZquz9JHxIVCYg0Ash0Ma94zr+NlMwMKMSklhdfS7yDc
3kGLoHDbfJ1TFP0FjIKtEtITGJhpLtrqL1avyQHCzEnCYS1xUR/DcfhKl+AhlgZpjXAqgm5A+cOq
pB7jvG3WU8+9UziJs+yBXyOCcUT44ZEidlHa7QmmtQckaoiPbuxRdw6V25qzQ+JhBaqRaxH+VgSV
brtyKCZ9QC4u1Q+yswQ9lf2sV2xe+LM1T40uZUDOxFtIsXF+FSM4Hm9EF9zXBNp6yvIJvV6ZbWtU
kXAKq77b/kw2qFFiZR2Mwgbb/sTu10X8Smgd4jhem3OXiRo9dPcOBycpQjIfhq4r63D7bJbxyo0+
9SH9HlhMi7hvQQYnMEUaOCnbsuSWzOk9yTTIF6Pv4I0+xUn9hWMJHZqJ1UmsAc0XXmMDXt54JEHF
9gkKHewvZAEr4uFQ7EP9HM/jLYlxag8thASvqaug47YYOxwOVM+QkjzTw/Soj6CQQOMDuo677X3x
ujdIfKBBSO2qdEGuIYux+9AR8QCzxUW/dTdYSLgyaW/LmlBe0MYi6cSiezvNqpJegg3da3SpPeqf
BcofnEH6NnD1Dx1ZVaT9clBE5BFpzp6aURLK+Gc3td/zYE3umuhF9UklGv5meBYBwkWVbP3m3G7Z
ZeH4shDhXBG0aI15aIOD83eGNxlZ3tr19zas383S1ecBGKcfO1A7pj4gD9UDFPFvyERRxXWCw55r
T81q7xHeRfts6BGIx55iUQ8sAR+/Of61mWVB6iOCvp5udxJQUNHGCuwXmJBy4fZOS/Sw2YgGsHd4
nDAi1t9L5BWQ1ngIZAiJo2lEkZk1OomgHirfD1k5Dc0JZuoNo/G92JYnLkc/D7ZY3uwhlNAKVJfe
HrGKn+GT3LewCaZoTa4Qd85bm4I6cTcIl60H2QdvwTbjpnQogHiYvLAs+wLge28jyDkp/bU6Mx89
qV0O7eQGFPjnNKbw8aMPGyX3TeZMGUh5HOf2EPjurgcl3kmQUIgJ9Tk8U2SkUv/WdvJ1NcNHb0B7
aGBjvVX+cRyHg1jR8duFTnlGtx9esgD1drjzCe0Ptl+OW0sJHHeJ66not2yzrUxXwG572TsAu9J9
+NKOJjhJqn6vTry4BYBAtmNK6GWhT5iXAW5yzs38QvsZ4byZsp0AujV++BxJFM4c9n/Y1L/R7v4e
or23tiFkum5/yXkHrE377CcZodhmYvgeu2kpWy++pAtT5aAzbGRo4Pc6HDAY9LxxqRpfn6JueHEC
4HoCo8cS2Rdh1t3wkVdcZ8fOh4e8jei6hqgMlv5IlslhvkF0p2B0wh1F84TOtqCep6AjQJaG7Ggf
RioIrqxpijimp9n2pjCDig/tZn/U8G9Vz46zayfsCmO1DMMh1RCfEQDwxrCy01gRg+u7EXPlm5BF
J9amFMB1eBiA7nXJqeuhLaINg7+W4fd1GpExBvdy1fJn762IWmWneW1pses+CNuseaTDFwpwsARm
M+QtRb4FMiLgaHEvVn6KV+87AeWeDxN5CH2DoEcaFb02ad4k4gf33dlY2DSR/5wRX+Zpt/zGaDxw
g2aC0mhofVh64R9XXLwOPW7d9frkUpAHfdNPqLrlocdmc0u1PARC3qqEPiEW+IIcmUMm0wG1XGb4
ZPVSuYA/qNme48H7VkF99er6bvDmhxB5JpJ2ub92fZWMHbDlbT4hygL2KOQErNb2pFfEBFw0RAdU
gY92QuGeqvqWhb04xW3/Ncb2vEyrQDbInIhNgnzx7BM697shQDVIk/eVu7pUypXgG2nh+eQhtrbC
ziIqo8xDu7kVimkflgndQE5iUwzYDArGKXxDsf2A/VSimNwKRHfaY5u1vJIKygmJwVQAqC9kClmS
mPSyBBxsWgaJVFnHDsHqPnFkvyybf2paUrHYPJgMvnzmuaaoCa88tn20MuR/Ns5k7moOzmJpZEU2
hUwrVsgmb5F+wIbP/BUVcD+XXLTXEf12uSU4MAfPP049jO7BKByD6jSmoFibhOVhAvzLCvpnsRHk
WX9lRT1vxyVKacWDyKtI57fVsDl0ligVxiwRP+2qsfUkScEk2A2ImEc7b/cpASe5Z2rS5gemlLzj
HjmoQvXdOEFPCqbpJTXo+swINHEVj9TE6aFGaZDP2XpJfXkbqeVnX9v3cc0kxJHpADbrPkNIDnSh
u2YMz+AUnFr9x+dh0QbdCqd/PqaNreKmeWUtADgPPTOQgU9LoOVTrXokDIdX59q1GBt+0rGEQz4E
+2HNkZMMfyjmnyIWwCZts+GQYPECpFp56VqUKfh3bempzH9yo6SlYvzNBhC0ZFvo5cyh+c4U2Sm3
/eAhYxWw6KIesIZ8hPki+llzxADr5jMMIbevOGARfDkFyCMf+BBXfcMq2XRblTZjMTE8qHUGXX/R
KI08QXMWdPeezR47uuHTQTXJ3eIQlgy2CKYAvxsDlhZDDTJXIiinuDpYyeF9QESpI/fkrTwpliCG
z5Ust8CGQJepo9/QkqBXFlDvWI2MlGif0dMiqYysrTOHFQo86wIcgQTkFXSUTl/ABxdGLdBIMjTV
00PnkkLPddFzwKqeukpEolFKmjxazTtZUFSig7sJobfiG6GvyjwAXIKdFtWxvCagKvpNMUjzYBy0
Tu9mNpwnn377k9cWoUkBOW0BaF1m1qoexiOb+4uMthcy4MH3Mu86IBuFqAo7rMrf4IinZdb6pADH
+9R47XmN+CXjCKXEHhCbbEX2zIF2Oi7WBWWcwJ/BN7phTvvFpLvXaQZlmGwa3BOKJB54DzC/3pVM
r3E6IXABD3zqa1n4Drh3veEZUDEwlSmIIZSQ197Vw2XsdZZr4GrA7X6EKWRd1aAqodayqajbITkG
/QjDZeRhdugYVqNM/RiOgxjPSwd5VIugLwKngl+D14fHbfMra9xpCpq7KezuUdoTBMDmJ2jlwSHo
vd9OufqDcNZVNRKMQWQR/dok5J6GfsdyQ1azmZKynZkpCTe/Q5HdRshmne2o/RuGffjkhT1QYTff
KIW4cCMfx0kBi9pqVnDEro5aJJd0ZRwKx/RoEhw4K5GneYu647BSSAamSW/aGGRYR7a3WYwDZHM7
5V7Dr8M2A49JUQe5bNCHtYfUrih/gF8H6tQBdIvE+g2V4se47MIzNiwIRCF0CZ98eRuuOC4R3ep7
CQG5qPW25kEdlw2SOiUf0/W9aZsqaMlZS5qPk7i4EYpkNNdHRvhPt/rLzndx3IXucxnd8iDcbm5G
iCX1OjlrPqqLAAqDyLZ586budtrY9MPWIO7HRMoTmN/utQW4KBJxUNxmUHXtMaxXRH99CB8D/nYi
h71QhsiElgT4BI7GTtbmBHzlOQOAiO+JjyG1x3KDsk8wGK4Zp9/YWRfIAHCHHXqDCTuai/1TjXAn
Dnk8M94qy6aVL03UtngmZ44EZ+Cd25Yj8DLG6MFWkyc6rlplTM6wtmBqHoa5u0KWwzwAcUupLZHF
G6Cv208X1Y82Mbvo0ZxnfKdS1zEUvfFLAGw6DFYYbOrAonrjXm0PaOT/awrz+vf0CxLmCUZR/M9U
xT9nxf1VUvjbD/1LUkAiBumWPRMDcw9j1P6RmAkxIWOfrhaBpMBtD/9NUaD/gVeoYOYF3rOSYvZQ
ABninzhFgqmSmIPnJ0lC/Cjz/1dzNbIAsZz/hlOE+1v2ghBWPEV05r/hFGOSNb0BOl+AP6R7uuKk
Qk2qVG4HMOTBAU9bYfzpXnnNa+dHz1umkkMwSpyFffI9QLfKAVVOBZ7vn0DWzZnbNkBZmWHLVv0l
NMvPRWxZyaT3mUHpbjMofSG8YoRXH4g0X8i8YXOK/FtU56Jr7AG4V6U57DyE/V56p9MDOtCDo3je
olSf4zlAaYPWHHMJHvCgWAjCqgJJWmrYO47iaUJIt+wmjLuo5aWD50YA61fNjFo70mcOaUQF4wmp
d4LizFzU2Az39Rhi0kD7SgJ9x0Ly4SuInrYHuAWvPZwQPQWSlJRN4n5rtOZeFJwG2z5EAM2bKIO3
YZ6mhT4Rx0YcXBZlt4e9ScF5XBFrm2NwFGwoVCg+08n8QuLsnQu1HlXbl8KDXoDyD5l/gfJcA6DU
iUbhGNvLEndnL5xufLG9NVpfeeIe8YDfDMGKUQ4bEsvZSaJnQHEAmxthD3C2fv8rXoKk8sfklXKw
HatsMN4kIPdi0d8TsX+0DP2jhTmCqAwmQXjI8Dj/YUSAFqKR98OhN8mlRkCmXt4Rx0CHZbxXSO/v
rIYN2wXepwLP6iwKZXCl95pHh2HDOun1OUUcxBv1L7yIGbEX8wob/oAD6bvrg+4AqwQBq2aDBAFQ
O8R6wzS7t0mo99ggHtsqeRPX0Rkb5qcKsU3JJnpqGXavLYFjW1OkV9HSZw39ZWlAkMOH4dg1/tXP
6t809gpjk4PvMAShQcBpgQg9K2z5GSm90X1OcDcNQ+0LvAVqwgj7ARh7WrBeYVvHR2+j8bhQdZeg
yLqhnUkPaQu4vYd4zJV7jan3MaOmzvHuYxwGDQ443nzSeqRAm9U5gLVVSJp9xkQD/wgqvnWVoRi0
QOSBufbVtv1N4CFrMHQUs1+i9zSa52PHB6Qd0nYpGrj5lW4R3DEee47AQ5iV474hopnzuRnuGLiE
PI7BIPWzB1NT3cHnxuLPoLw1TZ2n8/TmhLlRiG4PnKOb6c/z6h89DalQSHGzqfCcOHmJ8eR5Vre5
kY1E4tbHuBaFe1837hKbIQDViPi/nCnue4fpOTD57LLeIM7+5ZIeNF4EhWM9D/Hw0cTu4gZ+72O6
BUpd8xE77xiA8MtWeetZlDkNCM2IHbSqH+uEXurAXPe7Q5bkpRN10QJvYH5coaB5Y00g7zcK8U5S
jF6Jev/B64KS1aQHQ5QeZg1jZaghsW82hgzSynJsZYVXiCLs1CeFp9TX3C63U9yAu3b6UoeAOofs
Ge37ydDpnMjkNpt8mPT6OCGXqtrmY0rjH+j7nsG+PjTxeOsxfQS6dYLK+UCEe1knnLJA5W9Fj6Eo
oy+vCSesqskeDIRED5MkXrsLZuO8QCdDmT2QuxQJA9yBn94gbluSNsUSWTBPe4A2SzFZpzMTDB9M
FcE9A6IU2yMMJFGMEhlC0zxbEV+jlF2Jh5yDzCArKr8VOVIZqKyW/jnJ3NM4dlfANn0OCu3dKAKe
azIqJ+BpVuJOK7VvnY/eXNccxTAQ/aCDY2Gg29nUQKJ0aXZWevyi8/gmtw27qQnuoK+jjWUYNhAB
58TjN1+VTa9Wog2Z5+DQsOTF68AvDGO75hMGmriBngGs3fWpuO2NPckp/U1rhwD4QJJDx8lTkDKY
YM7xIlyFLfSgrxrDACB6fCQxnOPJXx6izB4SDbNxmW9Y1oyw/eht6+avjEWISxrMJZoXZBoU2ok4
HfN2Xn4EOFMyNg4VuOBix4n1qk4uWQ8+96vZsp8IM7xk/ggDVMP2CpD5kfd8kAl0rmptauTFCML1
UxC80U0eVxb+7gQW0xranLD1Qch9r9SHPrEHzD84T9RVwYqsmTO86lqBfWA0LSY6odkAYqJKuUIc
lcNHJ1so4J+bx25dkh0X3JFtXH5ojj4a0SuANZYf/QypsgaVMuEtRHSoVeHJ9skz+A40b2N35yA6
3+K6P7d+dtUz0vgz79BEYMxPvkTLYzuxOw9hVxTNSJ+l5rOFxIKrHpw2iwFCAxQzPo63llNc4TBn
tnmG1LhiHJN3jScGX3+VZ8ai367NOkQ9Wh/DHcZv/NVYISHIfbXc0RS+b5B6mLfinb0k6I9ORg9D
H8MSZXxA6wePmkHEIEt0v9YD0k/z9LsmW4WcC5rx7EDC9IZ1EhN9KMiytAGOwP2tqH19h1bldUXA
W2zik1ovLeehfkhpc2OQ3ygoXXGSAUhbFT8knnddXRJ8ym0yeZZMJ6f5nVuD5CjGqHlpqXfByx3G
IoJY3kE0H3b1PIaMnpkgKvxdWfdCyJ3DG+iNp3aK3uQuv0OiUqe4Xuoy2rV5aPRTNN3Fu2g/DG16
7+Nc9ndBP1ojkHfQ+CFS0oKy+Ntb9Gk1/RXU1Wc8Ik/s64PZbYI4aN/73ThIt6k5091M2OAqDHAX
5G4z6DHuSrVbD0Ag/wTrDnvutgSUdFJuu1UBvpSc+GSOfs+a3Iefgc4YrS8cDj3PpcczMOjLtuGP
pgIUwafzNgJBTz/QkV4g98EtiWoa5TMclP9k78x2I9euLftFvNjc7F8KqAhGHwpFqE+9EFJKYt83
m+Sv1A/VZ9Xg8fGxr4FbgB+rcF8M2GmllCFy77XmmnOseRmlUJSuJmYrg1ltJmYtaRKZO0MbtO8u
TyT9cnGLba6iZUpjMK5Bod+njG/sKjNXTqJtJIOdicTuOix7X4wzGmL2mw7+VpUtojpDob6gKmwY
E01DtoGsUux1EFobo8chBzenXamqGW6SQdPcml9Oalhre7JdGuc4JIwdv0URMnQ/kFzCYePz5D0W
ywxr4HRIlqlWJuVdyZjLRZ+nEbplKbiQcellUsI1a/pad6OidEu8cFNY+rFqvDPRKLFmJm3tpZGO
/E7Lt0KQJdHwqGVtgY8n5vuVIyOTZD7kne5PNO6rwSv9wVzUL893vB58k3c3O7yB3khxPCT80Got
w/Z5Lila6qlV3JwVt1i7cRIXd2eEV072GNdKg786mt77We54vLdB1Z8TU90sZ8xWpkv2pC2uxJg1
JB+xy+VAjk2PcDYH7SoMHawCuni0kLHmRnuvAve1msN5Y/XY/4RBEgeTTctP3yUtlIkZvwdyN1bJ
tRXpHNguk+nwyWXaDTih6jh6u/e+L7e6VZSghdqLsjHyJJZzxPK5GzL5y3W6rQ3GjdGG4D/sYDM5
yItj79m00fUxa5Mz79lWT8aHSGs+prjYTFp6k4sU5xbjPshKfzKqI1caegOe3bhrLoFeX9vlfav4
DFZRqD05C7aitt27chZqk3tTvSqVXSBURv2uKNNDVMMZKXgLJt9OSTgj3iWoQkWdHWQGTqid8BK1
3UXj5Lb6nitPEAJOMA2Kut4TH3d2s7vEwQX2iZBYiiWqat145mlaLI12avK5MJtJRPlgTtGduxzs
YLQojTTp0xnchIZSYvbzfjAV2JchfnVV+NP2NumlzCEEFNnbSSP3YFX6zjQpBONi13XmWx7wHKVd
sStz3dl4ufkm5xmfs0w/+8zAyueOr1CV2k3odPvAzPY0N+HVyLunwo0+nSl6j233idTMr7Fv7vjH
eVh5IH+NerfPRlGsRw3dorLXbpzcayMGzsni04lNBqGzc+ly81uj5ual83PR3UZDcqMPa681PitV
PhSeHe6mEvPzmL4oa3ipM4eUFYlgrxKnTEbORmuSbu3J8BpRUhBXDPiVuqkvZHOO6uIz1dynXp/O
dj3vgTK2dFuTPzuYiaYCDWNqfWZ3nMchknrqM1T8tLsRfAGG2bQr5WoMWohbsfUuFxvw8r94I9c3
EWt74zU8hB05febcu0wGJilU1OMyH7caBR7P9dasRmzAhLwLVe8nqITNEFr4kJmA0cSGsXtOXczz
RfbQwarzB2+40Tkyh6yJvpC3yfKROqj4HaGuMa1jIOxlO4ehBuotbiHT+hnboMF9NFcrmTvPwsVn
UnvuLYpDzHU5bQ3mE+kwUSx4wJ1AngZ0Xt768Yx3iWwu5jN0XOcyZ9m01yyp+aPp+iroz22MN7Af
8k+ymD1IhGQry/G9D6tLbHkfjp4+iLC4NJXtm4Be/lAl/sSR/qckxV8ejr8RNv/6r//j/1vjh5QW
usZ/LdJcm4+IDc5/R8/+Ke387av+VGlsVqeSyWbboC2xgYMr/btMwxZ1tt9g62BtmgXa1vqH8QP8
qdTJvBhYP/hyAwXn7zINq1g9QtaOLmzSL5Zn/jvGD4SY/yzTEJsxbIe/jZrYQ/XR/0WmEU3WFPqE
9zpsJhzafcuIJ45OhYHFOM6QVTSXYbS+lDwt71jJ6N8kd4kCbJH4VG9FGh7TsVZ7OFFo+5XdrPEy
8mq18kLg/j615/fJMK+dHfeYlnnpzL65zzVBBZjb91wZHoJLdLUF5jr4QujqzU7NCKURxxx643OK
pRQLFyQhRp2iCmhltDcQagUYxcr0MxEVWAnkEa3slFbmdtaI+KfVXa1ZJ/JyW5LM90gr1Ipq/Oip
17gOOEAUuLKVG6f3ccrtn3u3WAxfNGw460Ns1lFvPKS15axLG6InWkWHuUAvz62aPN9t5St93a5I
FBxOOv/K3elz0K8lNILaGoh+V8Xe9DpqTcPctRGGaIdomzfMv/qKbpuPvNwiHEX3ZiCPhDx6zOPh
EZ1lj6OkIPff3IdeTgHQNs6aKRnzT2fEH6AxuUsrV9xSLaW1Mep14zS3Qql0FQ/adMDRuHBIM6LR
9W0c1euQ6c9tQ30xFedhtl8rK9+nFY6yqqwIp3vVQkkhS+oG8V663Q2b+NZkKOsPGcFNU1xcTwJb
tYuLnHCzMoq3qehxnq/dxhuARsXIBkJuBzAjDwBzEdOgcWVXpDEjI61fy62h+lPexzrpnbB9a+YE
ib4jHqQlSbGOsxaBZyraaGemFvZj3a5uOG/M9Uz2q0NUEZR2jAvjAjSJqN971ZqXAZKkZZsjmX3A
BBR83slK+mHjyi7d9uYc+lFfVt/xYPui59bJxthbeTW8htSq8ABZHgWJR51IMGBfVczrpPCCNUhU
SjMUOxnm5joJwifPHoZDDdLEZljOlJEDV0M0jBpzWKOLxKeh47aENFi5drYx0v5sjsttP50mXZ6a
zHtPuuGCLrlJCzKXU6ato7F8azSafz3JjnPnvLVYYseyuEXlfF/nBYwTsTTKiG+FTUap1epNEn96
IXJKMsH8za075U3maZautgqaAbgYtBqARAYzL5FvzGTorlZdfeOofXX0GdZwL4x7m4C2b0zMWrIs
+OgNkEVCTAYWTGYBkeMw9Ha9czaNH4kXbmODRilNtZ1M6n2viuexHs7lmJ9dBxdk1heXwARh2Q1n
p0m4ogfCq3Kw/ERqJh3fjIplGptMB7o7yefQLZ5hZ71n1pxQShXtER6P50tLu5sA9pE6IOnjdvSu
dXeSuvwO+t2U35dlvFY8rMxV1Y3T5G6qEqbAukGWZvJlPmHt8Ewi5pXhu6S0sZe5G6QdvmDSz2rp
OfOm2BJUpwzpo8+wTz4iYa8Hh4IT6/OT7L1uBcfjnI5wQCLS84mxcDmaLQLnXWTHd0ou/7rCxNSj
f0KfXkd1ne5UMR9p9TS4cbq5cr3R45/bPSLWHBOjOct4zA61rkYgEfa+mjQ/IaJKmmHmmO2Zxoq8
2+izddVm8ZqRFsqS+kqYbgZgAgfPSd87x6T4qoK3ImvhYTa7YdHYZmHx2NbjViXJkeP8PkZ7bCPk
gkRRU0/TUTShryvtywxrrNWDe7MAya5GgxR34KXPlBAPebkEX2sqb834El3jEb8aHty0upXE4xEB
BFRNl8JjAmCksumunQGiWaHWHCfXBXKJFp9Go7dmbt34iDX06W75gcJPWsFyNoHjnEkF7ySEy7UR
5ScSBQ9/6FtODDHLZRhmt/pOoFAnrnkh3YyTeyTnGLa8+ERR4tLYmbk+3rljzoAJVz/gmOHcK/NZ
BPgcpqJ/S5u8XGOMtA6iyhdDBU4k3csPZg6AxFWLxPnGOPShq0J7Y9YF4Tlgon0Vlb7izG94TchG
yEXlolWfe8/XW4zBsiWlvzyejUFOBB4wb3lJhqsW3hcWuGMoOUzmOvxUnbkNKTY5JLojVfx76mAf
KGZ5H9vyPIr5KKzgOXUmdEfumtJ6KerZ2rR1/suyMXcnep9Stibezp4M76FVtIP9EhtVzdUD3qN1
5H5SbHRaatdb7A7TkY8Ry55r7voaA0aiBR8MzXFPKX3ASW+UW0J68ZZOgiwQPS7hLiZ39B2PyKDj
WfWi8dNgqgmEd4mv9P4umc1HmVn2ysm142ybX4MGMBcE3gpdSQeXRzw0I/pmK8aPki6PCxpwqFml
5+XOoBFsn2vP88OxeYqm4aTp9mUecYarVuzHrDlgiNtlOpqcm+zbebxoZfRuD82mkhz5bgxWMpjv
K2Xs+UiOlo0GaIUgUEhgYyln8iu4gZMtOv05qOpn8ipbszU4sAJxLLwIBE0PiFp4p070P23XbhGx
EA/7s6gFTJksvXa68a7Gea/p6l4XNcoMMPZVlJCID2vnfRiTF6gOv6CBnTw5fXPwHNqewF/QhR9z
FeC2t8onyOKfoSG6DVYmZwMpgOJ8qp4ro702jjatOqtp/TRN97yUPAIDkA+kfSan2Pp2aZM8qYa8
Dsga3cNRyTz7kZ7hpchwC2Z2oTaBnTu7GKI3YMFtUjbWGsMiAoE9POZ9s8Uvpa+rhAzPDP7xkufO
NhTlvvSKR28qdJ/hdsMtqS19oW8NJEsnQW+qW69jNN43rY09vK/2EGDntTG1X9MCPdT7N02jAXen
/jMU9UNQmtsa3NGmmTEJNSq9K2WyibPwZJjlqSRxu66L7Le+3B5l3P50Y/bg1POGMWOxSeDORBWS
oXTzk1FH7Mywv1o1tBsLMZFQ4RUzfMAhnXzUZr1treHVK0kPZFV+cjqRXo3Zsfa8mnCn2n4tVP0N
DXW4ylmDcsSc5qS0VrwOIJnWvSUC4kQKHgeOkCDRSGf2Eg6I0KYzt0O/D5DTd4mRbhyHu9yEqJ/p
cLzA8jVDgTrWBHyItilXusH8ITSZqHDcfcE1OIata2Y+VO33BBNDVkYlHF48UyDT8YKMsFw785oD
4FVR2eFYMO5dN7mvu+4os3wLpfucJx10mmnSudqMFdVpkryPc35LRhwOyDr0d7yTkow3sY+hKl/0
YL5y9K7d0EBM1ZxdL+dj7uhrzLa+XWbHcZJn2bggOvJDPo7tSrODJy2LHlDlQX3j84vCkogMRhBC
UTXMdwQcFb2qzn1qrHbvkFpbJW7KcYfeo4fpzta8XyDcz1lrP6seckNDl+zUxDg1zR9KG+VKgtDV
rQ0odOmnlZauKcjjXdQNwbq3+bb/3UH+NeZn+P1/hSf8z+yv1TZ/do9/+4q/mAkukQF6REM6Om0f
3eifQ36DjdwcSFjlPCCYbM/4R/doso1bxyPKH+qmhJzwj+6RGIJrGIRxpe2BxpTWv9c90rz+85Bf
cqeapBYwMziCv9NZTAD/tDxDn0BkVcyG1rbtpujPxQQ9ukjH+FhnUH+UQ72ag+FnMt4NDw6hTUB1
sb4DROf3Y1BsRixMK83R9U+rSKmQmoR3be4ssXGxGPqWrS2ma7Cud3o89t8io4ucVfQ15Gl30EwI
CIUejad6Nu3HSR/ELrJSFheEUh6slAlKUgMutwMxbGLTsPwBKtbKQSFu1m08HSenfWZu9+q5/Us8
TvciY3OCI14FcOjt0EVLqizdEMb1OZeBE1sVlbJuPTFE+52mDW6nKP7us9L2Pav/yHtx1D156qpi
4wBJ8sdZPIFOpCPySFcHkpe1rQEq5N5wwg8frF1pqEUDrFeitm5t7D5Fc/HGcVvfjHK4L5gg5C5k
Opmm3tbgoCeajCPOa5eQ7WwCiirL3RhZBhB2plvkRCwcqNlwp3p7P88Jofuib3dp3gPQCY37IdO4
thVUxbCvwAIkzkuVFreCqJfj3bKx2yiF5UKHNJVxgPPaU76P5bYyGBMS5Nw2XbhFX07Xo7Q+Z0/M
HP71ryxSvzQtXodTfi4orRhGotvioAiO4di/wO8Kif0XmZWu29x9VC5kh76pHpI0gsNQxNe8nJJd
0XhBvE7r7H1II2iZszDh10n6m1Vd2FcZYD4Xnf6ihA5+Utg8aInXXxjq4whPdL1YgbQKD11hHRJJ
LhGTYHRl7P0qFFOBZDaI87ckIy7BTDTfLbvSFznkcteOXipbP8RuWpCh7akh5qgHdIaPMqjRUycm
YUluNNtZaQc84behGi9NzO9gDNH3MVU/5zQDD7yOLyIX6QfZV2MvVRBse2n6ylvI/uanlWKo1KLh
IdDxswfjtbLHcxxNINVjENJzdixx6jYozlSHNaZlSOhNPj4apMpsHbIUP9YxsqMzz8tNmdb423Xb
TVJhJs4zcdAWDSAUBByLedwEeCCgusXXcpIEyKt+jY8f5Gbw7Sky+in/5DnfR6N9P2rhYx4QAAZo
JaopWwWFdipNFBnN+m7m3DdL4XK1psX9aI4gF0zwEWXg7gRGGzIy2ZOZ/MZUwSRTw91ZOURqo3Sv
zdVBgRbUVXzHu5+s65oS2pl/DK3atVWEu8d2fdcEX115KDF0FL7RYaAY4UnYuF9TJ3+V0ptgOUDJ
M6BK+IFY1KeiOo5xeR5Vf4xVc4LTei5ZtrNyCDr0pExNCcpBgATllvQHpd2bxXDAU+4bREF1r34F
mf5s0q96Y+2z+JDGN1L1tmxZZlHYnfFWVRj7lTIvrBG4OlP7YAzNgwrDp9qkxWSOfBxLEF6ajvNw
ntznUiQ7ldSPKfAxyWXZeM3eS1ySOwMR3phMFGEatnY4pmI4Jbeqb0H8lRh8+tS89L3xFFZZAx0B
/9HISKrN+wtRp22S6I+O8H65I3aUrkjOpUVCHV7MYrupMNvrOXsDQpZjaEr/cXNLfyhbDLqj6LcK
Tikx8bqiYXXrBzUM7+WcgOHkvg/R5lZZEcAQqZ8750UFOPzKxM8dssIB005MvF0FtRAun+1Cq6nV
KceDDmQRdAVRDVEcg6phRqQ2ZWTdY5y4zy3aWoA212KCIAl1tISRDmLGjU5IUuGqm9h4kPR3uj0d
mBU91fa3cmIyt54st3PBBNoI7XujaK96l5O5JVgmYFAsQxVwV8JXRSLXKKbbAFXUF4l+ZrCTL0re
jizo3h2BrRiiLtcEx+bX0CY7Ybu4psf41SmCWwaVw55qptvTL+WoX+1AdZtDXYAO95Ib2XjTvO7R
Xdb0cJI+deztUZWR8/Tm4DcAQnoOz1EjfmJ9/prH9jFl9w9hHX6f5jVblgLRbgT3Unm+koh52I52
RDfxMjjOjY+Gw7j7jtkxFGJWJxIafydsHwr/2EJEWlwk7CUyNSLsRuIdGISusgVmQwJMWzdR/lQv
i40mJuVX1j/tPJwUy2kcbF0eLjbeeBtLZzUS9OUPAxGJgo4Gk0iDXNYotSGlIQtntjGxhqZzKej6
XbnUiyDs9m3dnXucI81cURgavlPm65mdTRxzsBO9vcPupUpU54LdTmA5ARmi/GUmSC22P8X9ksRm
H1Qw0VaX6rkvIBYHy8qocCCT4TCUXtfLQinnj91SIGU8rLd6shmX1VPoCrlvLeuo5LKYKv1jR5Va
1lUVy+Kqcep57HP1wCqiaUWUYMPs5CQlm4vYelXpbbAyDa3cRw7la/MxyuyVTgw8EGl1XZs2IRu0
ENHWExu1lDR/BjZsBfOHENkx6n60Zf1Wyx4usmBhwrq74Zeu0KPhhR30ZW3XsCzwiqeenKNkqVc2
eb/DvHwP+ti+lmkUb9OWVjYjarOSxDxSWZRnqR409J9VilF/mQFNmzY2vuH0szckrL4ZDV24AJuV
mFINHUXdxuUqHBe8fGbAAkyt+lpCnkcr3kb5AtyPwBwZ0OmTJjZXecNiJrj1yHYgKSHZT1b1rha0
vb5A7iENAKhcwPeNzOwfAxa+u0DxE81+5rSs1zZpE02vGioQAJcJlVWWJ+S4NO9j6gs/itsTPHKJ
fQtOdh3zfhXxfBqqiFGwIjzWWGj+k9C/QFrjvelR51jBsIGTs+nT9s3Ape7Kxu/8iaU9RdAcsiCn
ZsihioyuyXETf8pAI3iE23ADHC8963G6+J8Z6xlmuC8b8nFVAGYziO0aT5MId6qairXQi5DYPNMw
+Kbt0e7Lcwc/+eBiCfJFWFZvIoTGMOrivte7bEXpt2jWoXc1nR7HVH4Zh/wQk6XXTRiyZpDsFoKh
7ybzTuIhWrlRe5Ksc3Az3Xfn7rEJ1IMbjVehFe5+tFIWvJSO/T3SHvlZXd7Nk5k+az1LTebSfnET
E4rdwq/EI7mahPs92jPpyjpSu6arsCVGpscce+Y6rGGYhIVXXaw0vM7Q7NZgLFmr4zbgBHg4dk5I
+IdFVJjFYlJN2WcAX35mvVQoqaycPPpdRY53wZ6PmgRIoK0JwkF1AEibB7avWq08xRzP6zacbbly
g6F7d4BSojyIeMRRgPSuyP1t8C+e0oIoZZaOq97EmZ/vRIRJzumcapfHbnPKkamAecvnogR2Phnq
dxiFyNJMUcR6xmOyIrJR3LQSeoLdWMVGc+bpVXNLVsploAHSpstus+c0K5PK7egZebMt4+VbZJ5+
l45Fd5zgYbwkLrkU4uuZY/+0RiSZcybWcIPdvLXyxNkVFO/kYWoQgQHC9O3f7z//3wulMxc0sXz/
17PJVZ9+NN/tv7SXf37ZX8NJZpXWIiER/zZ1wfTvz/bS+g86S3pLcHi2qdvLn/w9lb4sdIQLRulB
iwnykj/6x3DSMEy5YL48XdeJpf877SX18b+2l5KppMUP4gqmBY5chpf/1F6yugDDCb5wNCHtOSrN
VZi9lo7YpIOlraolLRlfeOCPVto8iaQ8m2baHkhLPHRMz4vkoFUpMKPpvpsZMXR3th1dJsDPY6UR
mjj2nvdp0J1lnYHX2zm3C6UhIUcX7jMt+3J53QJn2QfAso9DxmqsdUbHcXCR2Y2K4QXT/Kx7HCQw
SRjh6FJMZ3C8hb7dQtGbmKeMMVYPdWxyixgo2cxYwuMP8AzaXIyg1w+DZj+WwboY8z0Txktnjqvc
iNctLqF5NN5qKmy90DcGABxNLBtXtJdwwFfZglyV933dH/qYA5cCuY0EXQzdmQ33gXSI18rbYMiT
VTZsixHPCoMzstldJncq/cTCnDNBSVxxnZHEgwTdv0dCL6InM7uitvsd9WVpPHpducl7rVzFRXAJ
bUm3w8HPzetgNCW4hIEr8S6QxTYD4HR9JNdvl+D8ImA7k+lsmlSx/6cdhS88UObacIRqvwrIBa5k
R3wP4r6Q1T1rFkgTrBvzhQ71lbHdvrSbp7JgD2aVbBGy73pmWqLcpOV7753iNvXtwte724ye2zI6
dhP3Rx/UiV5iD4KX0Lj+OARwub13EFWeusJ82iXqbGeklIl6FyS/UCy+XTQ6c/I2sF/2E2SyYsBM
mQa7PnfVCaYqS6meCy4wbpT8aIb8PoCDfncqu7Pj+T4xLiiAo58nLvkY0NLDR+betELfJdNTapwx
fzLgZECav7SxJLIzbN3sPY7be9Dn2wLSUZzBt15W18UGZA7WWJo36VqYaOYVSjTc56WPDuAS5b7R
hg8ZCThLD7ajnPk1zJHfQldjOh4/D8ATxtz6iJlv59jTvOiRLaEYJ39lRA4DHc5iXONsLZhxGVX7
rJFthVB4l8S/59E8CWsXslKkcvcCAmXcRmuLVjBXX3Wq479mT1TJdqk6esCLd5m1XGL+dav7DtjN
yGiu2WgCGTqMp595HMUGM+aHY80/HoUn0inrTRB7X7BJMJfeggQmoWXJSwR4oNGhSf2wAoAARvXq
1D3uzA8W/G3FbDA33WboQ4MoFoN68tY63YnYVn2YKnnsDD6/BAhMYgzhLnE62BXz1fSat0zraIXL
9KtKTHTavNg7DB5i70eQn0d3OSTa1kuQHgZz01v6u2YMV9uSw1rM1otLvvGeQMmzpsfOLSdsabBR
D0sPAYKpDf4bmxL/pX3ausGJ/l/fUHff0fdXXPzv/xX/i4Hmb1/45x1lYJNZAkmewz21ZJ3+uqPk
fwid/yuPDffR35YE//2OYv2PTsIKNoppCfrCf9oMZP7HcqcYdPa2NAQRqX/njnIWcMu/SKB8d5tv
Y5s2xbGL2Pqf7ih9cKN+QfcDaqOW17Aex5URPbMyI/qABxJQvbhgZBkqvy0MToLGothWDuj3Fevz
DpVqwHqF5vQGJrk+YavXD4aps9ZPxvWZqIvmRx0mOJMa9XPQm896jL54NIc7N8Lj1gU4sZmaF78a
VNL3JTddpSWkLGVGm56M02AwsimTXdw6B9aKHWer2cW1ejcTl2ii4b2G2OsAzgGwtPTK2jXmOB1E
YQ3vjNOCk1HYPVv2KnHIKyFWnVurbTEAJnfYAVEO1ZWMJNMKhSuvdd6VVvrVjCMumV/AiqH6uR0J
FPKq0OQoGZOcgLIiaw7e2quqfFM42W+noVOHF6g4DYFPQDPQvpzY+XB7GCo5dSQjrT5gZp2lLIMj
ZYzRlAijI+MNKiDZakVoKAQThVvosxKz5pehfqeThpkSJBXDegDnLdejPk27ENxtjTPdt+3mhqv2
bUAH4xZjkJqMgbEZsL5sElayImEk3GAt95uDdxefBvZOVp1Obs7EJ2HRiwe1QYlsO0YLnmOAkJia
3rBPR2fy2ZF3wo9/5vibMCdxs4WGjfdkCgkxheIsFNGyiBn2Kk4+x0L+9rqc8ASjrys7cMHlO9at
nGtG53m2qbVgYHzDSVYEe/DKeF4abe06ROWY/bRne7Y+AhcGACmK3ja6l7SGvJ78gbbVGkw5Go9D
NPSbtGbRsqa61tcA5RN6NjbByM9doMltk7E9DjOfP2xH4CuGs2u0FIKLYb9WoaJnEBzVjTOOeHfJ
5hHJ24Tw5pnjls+JysW6S9InhXepRnLeADlJuDRz4GsxZzASNbqTg47IRovULu+6YYH+cJslEaF3
T5DPCrVVarc/LY++DvyANe3dqh0JP0VLhWcmjxG/Nnidr1U9PNEu3Rs1Vuu2qG62kR9aOIpGgt7W
SvuSk7zGbQF4D6U3XuSbZj6x9sqv0BXYhPrVoZphOg8JVLNdOK3TrUVkpDE55ys5Hdh5AjaxOMd5
CjxIf7Mx+hdaxA7KIL+qOvkx4+qFZSFbKdQFl80umL0UqX5+K0DOGqVNSn+BLfQY4bpKfaZI274D
SFXno1xlE/5qzgSiREgmJiNMg1jMNkHuZpkj1taWZ4X2nkQJErJNuKnzRr+VzrHWvhZSD8lhEGVC
7JumexuBjcyA3aMBmJ3EyCpbNvqY/A1Mo9lNvA5h8vI8beH7jIfZiO7yKfrNorFT5CChVAH7ocsw
exryePC1HEg+pO1zq8dbafKbywYSAVEn2UeJzKar926uD5VT/bKDbi2y6bejN7uii75dJ71bFroY
fXcXptMhLPWHAKMqpBXfGMCuNNZDpKdfooQj3ZnZsyGyb7ezmAJMGSV5B8qu4leOz+kaOqO26hUy
Z1CBK8IloKdBx/oik4S+vIsK78UtHNYMyH4nNR5Gnj8CBeowIWGOUfFWoHifFDj3okt4JCbjWjcs
99bNfWzULO7jPM3n5tIn84eZub81gw2fLFgjDSbui6L9TjV7uDCaPk5R+yz6gc6+Z/ap19YaiiJR
GBZmxs49mLiWvTMT2R1m0KEt7psBKSC30zeOrBlkDIQcqmcgL2ngi5kjX2XzWQ56Dy2RDLgx/VSu
+iqb4Xmqyw0b5rq1Iq1Vp+Gd7TQARePmzWBupEY9p/yvIfdlbNJ0WTmXBCyv8LAYTLZfSP4BhomE
lLft7wLW1NrDJOKZ0S3oQG9q+qfda6BGxlsbWK9RAMcvFy5HfPASLkIP8A+f1OO1SFhuVc3Do8os
jvVQO5BaMdZD615bl3iiHKcLp5xCecV2VuGKUDWPLefsIOx3zyJ/gNsAAIO89nb+0Gr8WFX0XvPU
ssUyu6ejY0BR0rSMGsPsLrPvErNkI/cY72hCmZk7ybeLwrpRBbtClPfasc5q0FcC0/VaM/FBU0gv
jcTERlILAICt5LkX3Tt7AH7KufBdL/+xgYaCEA38mXBZFcZfwmP4DYHNHwPFyIR9EElGvdirq2rm
FytmGGaGBQtx9EWrZtHohg2mm+WCggutrQbF2jlTZ39EUXyohZBgDQRWIpaSAbEBngGBYZRIX+3Y
YVUsxnEreNio9xdLV9m9WdGxQevPJvOtTr2H3vFezVHcpYPO9kzQxLRKiCXjh5OJjPEb300ff9xm
UvtRn2H0GBsznF6zgY5LY/9TXg8DiwQJ6ZlApOMmBm8AibCbvyJ2WLlOQXNmsj9ZxHdLXTym1rF3
mBVYrDohKSsNFlzZ1ol3+w+KKgZTYl0kolhX7HE7lIFz03VSvMprGtKPQscMkQl4hjWLoZpeLeEU
xOp68awE2w6mY+cQIWKRTLfCNlTsNGGLPVudiP+57LthCntx6ZMdV5u2Rb6QV//Y4ty4z5mjvddq
fpmws88xYyFvlL5u5Bst6tJ9o437hlVMkwNlzSTAbHCSkyiHAW6njzLN2VXIrCi3yF0W5VHUwbHU
qpObmuYxqdle31cBC47FuUjsAyvg0fG73WwjeqbK+MmE2BpTuOmZEsRe4J2HfLrz8vyEqWvN4rWL
A6C81eJ5VZgMzLKh2PD8Roi6IRnizvxwBu9NqgSuG41TGLPSitnJe5pHZ7Mf72ISEI05PGayPVXw
Myyn/5DL+qr/Q96ZJNeRZFl2Q2Uuampq3fT3PXqA4MSEIEDr+962khuqZdVRlkekR5RUiviwsiY+
cHeS4G9M9d1377mNfxNlRBmd/SvhwGSfpw6L+YKJLg8+ADudgPU9uoplc6KqF29UdHdoj8Y881Gp
20NnJweB3AZxg1Ch03VvYIAoRGIEHHWFcT6E57G1n4fBKb9PHgbAmDsIdVPNK/QwlqpdraGuJQSs
Je83hZ18hFn906wz4xkR2Tp1hetf3RGTLKx/IkAjTeoxlrjNElb4bZ0cj2Cv32wqqT7AKJVrP5Tt
NUkxA9OdyaHlFR+JM5LuGohnN5U0+42CMb5rzAFhwcaTfq1yjJ+VOSCfGOABW5ez1DfbHyJiOx45
33qBV7QLYe2trEy8BgYiiEWgD+Z22r1KwzJ2yILtVhqTu5Vdz2ApcesAzCaWYxgPHUcKDyPgxH6G
HdcioKUmlexbTf9PF9Gc21xiN8tUinG7rU/NNL1OdfUr4ikGAriw2J8N9K5TLzb9dFxxa5vpiT6d
mm8YFivZO8TanOnDEwPWglzV5QFTLXVEqYKU6giaiegzsjZYEkxqD4UXXYwOeYiKqe9dGr3BDQ+v
tNjEG5vv1JYbeHqaEDHuMieBxNQ2FBrW3mdlinkzxCbjqW/8jPMGjzxwce5U8XxL6ca4x9CH9dJE
E/O52xLK4mJHZ09znruZlePS5vtlbsuLM8/3Q4tP2fCSjT2NuH1LWd/opeP4ycL6uxN15s1Np/Qc
ef3EzTfiExD7FpAEV373BiN67Gk73wTA19Yqs/qtX+JoruvWfCySbF7nPUswJJtr0C/xLyLPbyIb
Pluh2reytSj+NSfUlyavKFWzs6w/ZqFTfya0uV8CLlzHRgQGBadR/vb/g8QrFTDO/2qAfm1+FD+/
/i1+8uev+nN6dunV5XHhexghPUxBhEz+VHidPyxCJP/yX/4xPTt/SB7Qrmsz7nq/Myb/VHht/auk
ELZj2hJR9m8pvOjJ/zo9CxvaG9QRxmbqQHEq6f/+F4WXDC9FcpLDOUqM6t5TgX+yAEJsOk+Nzwl9
FhwlbbhLZPNllvIhwjAQb1VLscGxoMR6V4MrSxTJ/TgsSUiWTQxdxM1BO1OoNY3uAx7eO67Q1jrV
WWcbWXaTgBPaO4pq0M4GSOElGAXBrol15QzHGexUHRvFNnYMiXOhvetn6wkvbUdeI74Es8CT6Pbv
dQxt1Olwy4RNQTDcI9wO0gJTH4lBArkFEL/agB7VHexh5NIfJ9esqd7tol+O9YigZfccD+NIhzgW
7KXBIuOY1I14bFVSjbAI3XraM++yY6a1xVM2PqJaXab4Ix6GM6vhr0p1D15XPuJNuVgObDDpN6xL
A/osCmlgekgCkFFW8pBGZnONy5SqOPOl0ZYqXBQXDNqk6E11i2T2ZaWRrviVZ5AtJyOLl2PgLGyu
yt6+G5dWXGpuPFNrreFev7hzffHJyVZwvCiKYvU/N1xCsrA7l+HwJLT+jN0GVyFuLjGG6BtYiKPe
+HBcl0VcNV+XEbpraaNIt4rGJZ3dG8FaH5TDLaTsMwrD57F/7DRmLvP9azd3PfFR2QM/CXRVzEzS
U7WvRjBq4lp+iKf6F2uOK4T3m+OU6KRY+1tRs3wbLk2ZflOJ8dONhh1pSfdQjZyc7LN/GE38Zrn1
lWf7o9Q8ctvmI+JDso6E3iRif81U8kwx1zcxNlTIm9dyxLDVqvYQEPd6tMPla1DOlR3L/OjFYKtN
x7iL0D58o3taKjPmr0P22Z+rB7bzOD88uFujy8uRHqdiuvmqg1bJHCGPk1s8xrEkjmM7j0HqP7gD
Y0/k+29+X+2tmjcOz4dLNhQzt28X2ckepvYlFcmIQBtDy7boZRhyro0G9lgCzskGv+YuTo3wMCNx
EuldDk7IviOxlvcFOdSW3Ve44EqtpTo74fjQzlTOlNZw6sQApSCHJGuFlMhNXsqty64/a2KfvEpK
Eo6J7+gZOpghXqjU1jLJzCuYjCNDsApuQ2x/JkZ/rvF/bUMflxC/D+mPdetNN7oLwpWrSeq4g3OW
WQ09w176VEFJ0TmWz7529pY+Az37pZWUNM6d/alG+1tlLfva+0XUDKwMxDkQE2T5peSUEhYiAKq4
vVQfFq06+TjNJ9yv0W0EMykm+bMKmoYEdmITbyORRLzCgdqAmT/Ml53nlrq9u3wzVXkbEvMXZ9Qv
CEB7C7zbMiXdxhHVd7txoXjoXY8MXmI44HNvkkGxKy7G6BVHExY6ZeAseEY+Tv60Xdog3aJrGIfJ
YhOFyv5tXAzSQooWSaAKlpmdQM7nuyEK+PDnxlVw3yNWBaCmY3issn6HLWIn+LCvPN3JUYiDrOrl
TAPGmZnh4pXoHK16VF79OjjTvSuK9lK6mHX6oXxzlHbxFPWrKJZh23XWm9UVcgvc5THHyYRxmEtM
ZvOVmWaL6oysOS9AeAh42J/5aKVrjhgm0ObT5C6M16RCslmC9Tw7GIcK9Z6q/sHOGi6ey9LTymFB
L3H2UksqJJgfusCl/SIjHJ4G40tWYv0obfULSSjbZezk6AAyjb1TIlHweCDvRK7e6Er+tReCX40f
TZyiOx4VLLsccPg0q/el91D4aAiFA0ydqgGp5Me0MHszsD/QpvqR5sQGVe00YE47oDOu/1TZ7nhs
0mU/xtNdzG0UBiXhFaduXkVaHoc0Zbpnpsksia+uXF69CKBrY3vUjRMSdissGJnMgFTat8m3WYIx
1kXobBuTxkp3Lh+SyPnCwMgIqD1o0+K+ug2ZjNBqPoO8OAbFSOqPQB3epBIMFpE/rJLea0gEn4AF
BI5MBI+RsD/MkYxGSv5lN8sQI4QLqdUagodlQKAbZPQoA2ArOdGEfTZKmmD4ZM8Gfpfcs3fKZ4FO
pco+n7IKWyUpzoZqy9nXMfZREmdT8n0wnUNd2cU5EkLsmxwOTer+cLSJsBqHk5N17SqoQm7QtonP
fIGw6lU9P5N5CwLx1gVAEvtK3WVp/MkOhZ2lOeIcHTrsFQJBoaa+GvAMCfFkbIzdMuLEibwZpIru
xowJthsJK0n+CCpflajXyNqnvuy2XRv9FF1b7jKaw1x4H+7ivy5+RcmBhSUTRy5dsn34TefMnaW/
b9PuHKni027h+/YUb4EABZvfkLAg/iXG9CLsLj3V/AAbtDg2T7n6ERjihyuGaCPKeV1H/CngcA6N
9K/SsaydwPe1ttpCgHEp2D3WUKVysdDVwfxBK0R3clpKFI9g/Aa/uZmB37JFxLcjwChOMdeZ3Ck/
WhOjrZl4Tzk3eEwTCbmSFqun6znkOvmfrKn58oAKrhsq1rAytZtCZaA8FJPWQPP4wXJLyIVp/eK1
xrYeh+eM6jOzOk9M4tsZ/ROFCR12MiugTHJH+QkP0mbZox1+UMUJphQKzp44KBpCw/E9CPZopNnR
zCpGI4LqIug/LCrGpS8gXMV701DH3jXvupT8WOQknLYMQFPSPlhiJnpa5BAeuEjBZn0JuuXVD9Jd
h7nZlmZywvK6Kxyd2dOUw7kBrFJketyWuzy2N25m3PWxW13okcaMZIuHfIYyAoyKXGR+I2GEB2lo
f1gV766ucRqJnbgqecNFfqspbEEUDQ8FXNvEnm+AGtf5uDyXNjRaetjNxXv3w5JK3PqxoPZh08UM
SdVCN3lOk7Y50cJdFsMu5CfJxrnbVSPfrL7NH1rXS7AnL9u5Ru7o7fEJR1J0R7yPCF4SuScFsZ3r
CWGkrVFhlPIoJs/crjwxvHkw49RWFpG5dcf+VyJAa1ZFeoktIi0hs2LejDe6BX+kUddfvUOiaHpx
MAfUsvsG7eVGJcljnvONmS2bB80Sw68GsrlJChcNF2zEruO+dMyHqSb4wyu8mOCFqhK6pgAh/lGr
4VbWUBHKIJnufO5Q6Gvhz4i/EBcw1/9lt3wyrOVJjcOZjPObgkmBOBzuagUXAHfj1hnZXQTwjxY/
kXfkratTaoZPEHxR7okIM4vShRKUxjqhC3mpnOXWCLJWfIzAI9hp1WxN2Tn7vz+z/bcFC+Cpwczy
X6xGfzTkBbDv/Iz+fTf6+1f+Od3ZfzCIEWCH88gq9LdL58/pTuLfMXFhmGgRpumaDFb/mO68P7iL
MmqxVXU9HQH553BHqQSDH6xhPYr9zXAI5iF+p7+uRgWISR1Z8UxTUd1JkOVfh7upBsQGGZI254pO
BVFEhCBK68otgfS33bzVcMKKMAuO48g3NHGJPU8YZwV++LZGt880aGwulrfJng4dazXccyDzh6Dc
dFxkJnp0VrZnXVvczqEX/3QKWZKuQtQDU70SFDzCPxeYVHoaJoMxe6vH6qv25J10xjfpOiwXa0Qg
y6f1L6EJPK7XVKMfW24OuWU8Gkv41GTDTdVejhV5usutX6FRPzvjfPZLwYPQfLOc5OBaTYH3In2m
VXlYlQGp9URNtzDwD9Ps+7hChoFObO5ZYrwCb1lDKjlTRrvqAJv5A3hDiUMORfvIfYRW+MTu1oEa
vmPVC9cJoQxrsKjetOwd5WpAjaLvoBxHIEUozB5iWWE7Z2LFn/Sv7ZltNg3J7jQwTpLWW2qP0JLp
iIo7Ut5NBpRcED/vG2clSZZBS7tLMgxIZnipnGTbqn4TLe7Om4azX6S3aa43JcSmEPZgA/eJ3y52
1+nELd/1B3AqpQctuttki78C6LKvLVCWdbUTrNcy6LW5xxIqLQDWLvhUmB7u8jb65tguopjitpDs
jSC8WiDWVmY8m9BUclzzHKaCzWKb9nsX3pzNXwMW1YF/tzfBJ9sStz/Q6rWP9sRz/YPCkb3pwYaL
35RPB4DXHDoj3Y5Ns9Guykrmm2VOzqMCPQUoTSbplqbwnajqvZHDuHLC4Z2X/ixlcR684qUfdBEZ
3nmuJ8OB+I+rhdin2s7uMrD7Zld9nzLxOMiOUkU7YAdqgqaIpvbD6zkoaIacdp2hUtrwGGtjrlMJ
rJ6V3zn9xpnUZ9ka1HeEWNTq4NXyMQ6ZBTuweVy+IjH9GHrIwF7lHvzeeWqx+bZ9cJGSIhRUjTNk
rs/Bq+hIDTfY8o4Ek1gK5BYJTwtAUBtzU45+2rqV2l4QpJkV1xzbv5DwvgVi+TQgpkFAj8QqTKMT
SX229YDHIVRdG2AdbIIomrWIkSuLu+gg+FEG9qxTVlj7sYtOsctuluqmARezaC61HNVqkjmkxAj8
4lRFNVt5Oz5ZReTvspQU0azId/CjEuGZ44MpeodsVf009S089KQ5jNI0kUxMbhJMyauhb8q91xv4
rpB/VE9+hb0Sz4dQhqvUTK315HRfk4y+NZ76DrrxyQ+yiuW76G8jfU1UW+p8TyEherBpMMfhnY02
IezUL/duD5QntKJL5laAjVpy8arhmjO61UIXQDnt6Sk/ebLgGuzN0yoEs72bGr9b9wj/zWK8W571
PRdjhbZAXzbrPBgfiTqEQj/dHOfXVDkcliID42bwu09zccTwMBkvRryLnIzAeEEOY0xxw7JAVMM2
6f3nyeB7giTCOkaD9dNSfSrP2oND3A9M+bw50Fq99mwtpYWdL6nWMeCBcyr7u5FSgAYPB8+DEtOU
+1bw8Kd/LS1XTt8DsjfrQzQs8SZQtFnkgwSAFbAf7Jqiv1WV715iv7VXeUoVRRfFDXw9l+RZcDbg
W0ej9G9zE9H+4veSvFvNVcGvyngFPvclGudbWPnBuzOHz0ZXnCyjPU4MDQc/Rv+YRippoXJk635a
2s3ULL/kSLp5AZhL6J09XJDSeDxfCouoSJj248aK42njkycH1jhts4FqL3soAAUoJqyAiDYVM8/w
HsnjGp1kuzteI3N+rrGxbzND3tHIgp8zc85z4JmbckoeuqiBOzNS7jWMLo/27rGPfWzsLuPuVE9P
yNaYHT3aB+vGpIpEeFvRFSjpEAeiDoUhnVR28ljMpD7lIWR+wInxIVpClqCR08DTjlkTRoGB7R3L
2MorrWdVhPTw2m2OtFA9pllwq9yAVRLLAz7LrLF6E8OkEt8qo1F7EXa/WjITSbG45zmbGT0qjKAl
ThmaHgi75zG7s8HS/6vnh/tCL/mk1cRH2kQf0hxmSRx0xzTkuwob5+q1HmTdoLsGVjyC3yjrFS+k
asBOAUyBNHwzWt6UgIu6YzQPAW8TLAgb5x9KHCmTB77c4CRrbt+U8paEysvXIu9mYI9okPacm+e5
nryTBz6sgzkDFMhbDeFgsjDIgIqUlY9Dd7aPEKAlE0ZYrQ3N6dc1xYDT3mp2t8w3pKasEomNeh/r
5Cfz1U6THVd0lobxFLGlqrvfnbjNaXJIpcSDJ55tePN+ZmLEyMr80NTlBg/It5FNYWz63yGRfORz
evZcZRIqktzPTYQ3zcNDMl5HDWOYRW0ccQlpkisrxI6Zw1hlqVSPPLPKTTnjjjcGPsXT8FajA6/7
wXwIJ/mM2dCD6jM+cky9YnGqjkhdG5TkH1U6B8cp4ZDoKwIW1VTHu45Oa0TE0VhndSUvYWQM2wjY
2Tq1EQYckJt3RdyGW9E29mrA+YsMd3LnuDvgZzFp441xag7P5cLKPabxe8PZ99KbWLeA5LJAKaJv
YZ5/zHNNpnEJEU1sCx0uAXVmzGlxksVIe6uRsP6lahNsifbc+mqzJMEBhMqxD9SLnXDFWgD07oTu
ItFNTbZLOwkgDLmJFxpLeqpLPN1hYlFmsszuXVQ27rqm5mTSfSeh63wbZXPvUITSGeOjGh2TQ6E/
sF5Md2Y1HC3KU3yepQdabi9DTQCJZNfDqJtWGt25IvGLVLqFZahB7SYUs1BmQYchu/gtmhWRD+/7
iFsWItV1WJJ7m3IXK0Bhs4ObFbvdNqdMSEr2fEo3wjRLT7DMfayG5ALoeueWIr6klMjwhMeIY9jR
KhuNBg9Vo6ndJ8S3ZV9SvLSTuo/GcyZvLbiU25a2MVjiqcmpF8ywlYzxqzs0ROs8CBmprktqAeq4
WLptKnCyOTx4VOJo1TDVHTmLDyjY0705qpXPjm7ScWX60OtunZaSnYWeo4XSnZ4YGvM/JKuBaqtx
kOQgVYSpSVmHSLf2cKSvC93jE/YhNRL2cM/DkYcvZT8NvvCZa4ffkt/sqh0bdRbZDJwFBoGY4G5K
bRA2M7WL4mRY28pFr6ZbqIsje0XR1l2aC/wxnLbUDSjaiEoJC7umoChezKvqa9a0eb6vqTCa27zi
Mj5oCt4+rIxNzos36NajGfrhqHuQljB/jkR78IriIj1/u7hogzRb2Gg1mhIz/lRIgl2vlwhu/al0
4VIbeRgkcR6kuowp7BwPJ5ouaKKpqXeSLyCKGE7ocGoG8aRIkYUd5U6Ornky+u65JGPNPX14tgnA
UPGDD6OvOXBpiYqS6gsnH9Qr+qOgOqxDqpq5DGinNi99IdQn07H24llcLemhShuz2CWI6onPy+u5
y+vQu6RbJwwmZsp/0i1FVUObV07HlRPm7xOdVwQrLlwCCKfZOAryKOIfhJQjb7hmFac9MaPIp0Jr
oEsrqN4rXa1lz853a2hPi1nScKPrtwLP/aCidwvC5xYU7k/DhGCtC7sqv1TryJ3f6LGbd+SiToJ2
rzKKj42u+0rp/Zrp/7IT94mw2rLiUrFXcMR51sM7Vy3JqqV/NFx1w5Z5cvyQuxe1GrNAcFimnz4d
5/SkWIdWd5DJ321kMDizJphuMlLLMWnynD9f0RWbArEJiv5q9DPFLzYf4QreO2f2fKVpUtfa675i
z/+AqYXRb2ruKgHEUFCblipkptrqb4pCtUjbf5TuWBvi5dTq1rWI9Z6pJtjP1LjPdMOFMuNu5Ji8
YfNnSmVb7GUB63Na3Magwt+W0OxGs/K07vMEiWTxzwP1b0bPJ67XjXCp5b+SGN/iZn22Jd+EYAk/
Qc7+cMs6R7SNj2Vyr503cbdrWw4GQfVcRAVdOtHV0uhWulj302ECS1eQnho6guStqGFkhvopWXk0
22W64w5N6hTr1jtrKvaB7sFLbaJzpVNM28pE1wrq6s2iNi8qweX7dnjOKdSj8Ikem2IiU6bb9ohs
A8fGIFXa2JaKMboIkUCN0RjizAwuHlziKuoHvpul/I6z4d4pjK3RpvfUvZDb+N9YY0LJrXFz0Cc3
CeTjWSLfk13o2v4KFXSdwt5ZSQ1LznNQeFmFUQaOch9pfyA9QvCVKaMJOa7sm9Lo5cydNpWGMY8o
BXjSLGrvADVnEJujIjoQroUevrTXkrPc0qCtHspzpnHPXcEqE8D2VwYJOkzTfNtU/n2pIdE+tOga
/trAiUVo7GJpnLSVuIdByEOsQdNmN38X5O0bS9Gem4S3Xo0PjYZTR9xXcK6gPcbCv7cT42nsQVkr
HiVXC7p12HlPE+veiwv12jSzn5HGYPOkvW80GBupDhOuRmVX/SuFZJsRhvYMSzsevxeQtSdRv+eQ
thnNmo2p4dtFxYon00Buc4i2AtUMCZ1EJ8zuHHb3HHS7BJY37/odl/ZxVUD5ri0b9xrU70i9UayI
TsfPz5AA3Kp2EDcoR2ZAnKr2YNt0VEESn5LoI03MLY7Unee3NPUQeoU8zma63EbCo1Kzfx15rsVT
i+dC48phUqw9DTBn0fezh2jeox3Tht2dYiM9Spjns9Xe2Yr1CwvNd3aft6YkWK0x6RHI27XQ6PQM
hvrQ0b3paKx6NdlfOXKEm1PunsrrCH8dj9em0EB27L0Nr7/z3GKnGzS0vRgDEInDvdQ4978v+/2/
lsYjheAAQdFtKv93Se+Y/SqHv4p5f/lVf8p5DlEHj0QC7StIeqZCIvxTzrP/8KSCtoJy5wjnt43j
H3Ke+gNSAq4qoRW4370t/9Tz1B9YNBR0GIXdEGLU34o62Do08Vc9jx3a7/IYge2DGltSGf+q51Xl
MM4Bz1zmKZutCeuycAIlnjTLzW9oNwQ4jYkC1LibsDoREpBXbPF1h4RuvoM3u6/w1fU8mSaBFSjH
gEFG975w7JJtbD7ZmAXtr3BMH6GVHgpLiV+q9PLvpoH4Y48tVAQPn28jOKXqJT8j0Lx3HTtWnCAe
C165rqr+DfXgjdiUf+sH96kq5Y7Thq8cnWargHvktgOTW0bkTAfOC2DOTzhZaXWNm/e2ZenYJ79S
Oh3DqL3RkqwOcwc2ZO5zaqD6FzuYkKawATR1ts/Y5/aOunfV8BCGBlLkRKM94Oe8iUB8DXdLS1VY
z+QOTDlWFKm23EmzxV3nC7rEYp5jXWUjrr7ZoZTZGd0ONSAOGBwmAVnWReMIHt6o3gs3vkZ93XFF
Y5iIpzFYx+SnDg0U6E2eunvPNpJDN/i4iRv/K1aocb1miC8+Af3KZpkVk3aGFvciGla9pPTXES0t
u9If/Se6iSkHTWZ7g8DyMtvOR5fh7kxMNku4BLDWdMTNx66BaNWWdr6uw8E5T1z0oih45iPTHcBX
QHUr1VG6In3DsWANUbUKg/mXHwAc8OXyPgii0T1btpWzXK3kJHIL8ZLLQqk96jTsulcaR6KtV3O3
IxUwZ1w96/CaiDy4W4S2gsu8w6Btn8upzh4ZulEZvf1ikFtz2ppbpG+9MTTsQ18zYkud6mbO8Gr3
ZepZogNRxR0tgm+Y6s8iZ01CTeOB9fKBAFGMQEha0dLXKJpKk3vSrbxmJYdXYVLZ2bvqIQW/v5Wa
wiphDfBG0vRIJGFcMVrfNZraiiJ7mMG44qjGWAHYNdGE11KzXvuYTKgH/pWO1C27aewfgGGxqHSr
GlRso5mxFvBYCkEwI4KTjcED+c1A/Yuxd8HNpmxvGZoh0HYkRc8jMXHynLQGhJpUa4GsTTW7NgFi
m2buQwLU1gd0OGnKLU7sdNNp8m0T9D9S3ZtgAsXFCLBrgOQaXn0toPFnwHPHGJsvMF17QvNmrFAb
hiV8UyB309zf1jjIN67b0z6vXhZN6J1A9bKh5FWv5domiRmMxp2jqb5V6t31Pp9gG+AvAEM8M5oB
HCt5nwAFttGuCiDBvUNIIg1MlquaIFxA6t1UniEADltrWUOb9cYREruLnaeaUn81tiXlbNQ5OxaR
3MZqH9slerPd/EfGRn2lnCxm7ccc0WB730Qhl7Vk8E69pDpd0Rq9ShNurMIrHpfKRVUGKIu41x4G
nswRAxF0/r4CfR5hLAa3Q/IloTonj3My7XHzUCEl9qPv3C3LVPE1FuK+sgNStk1UsBcYbXU1y2K5
9/Koe5sb4w0zvtjiJE53NaC3xS0elM2oFjuP/lJGX0tbTw8m8JNEpaw8MgzoVi3BXpbPQhnbtiG9
UzOHwASOaEKISJc5zNEOJle7WWOMbm78tIx7VXzy2/68lNLYSSt+63nAbcHxr8acnGfljJcoC5oL
HTHXtkL/SfSNoSBhAw9BtofcWeY1aPFz4PDxr0IgF52xboOefLGhQffhO3n9Z9KzkiZo7mKSiPhm
QUOBjHpSsbgbGMoKpl42OdGP3MMo12bpUyEoeC6M9r4XxZ1h4ziXQUtQI4zPOUW7Bh6wje0mPdSJ
IjtULGu55VG9JAuOU8pk4/FBpYi+Ih3ZnOT15+RaZydJXzKr+KgBP6ECqmKDzxTJNlE3aCslMhM5
lkxVxwZW1MC2OZ0SAf+zKQ8T6QasDcA+I1Gfu2V8DjBPgyZbMc5TXYOtyYSxUCB3402He4UxNVhn
GdLmPNtPDQ8trH1u8QSjasuuJNlial+OcQcN6H/0/0ysS7A3P6dOvLA6lndtgBWE/ieMK8v3KBI3
Q++Z+ESHHtEdknjYagysFzbp1dDOv1IdaTVq8dTrkKtjiVOnY6+eAzhz1GnYZrG/sWgproNfUSlN
rR8LJnIoXbdFS34NdOSWru/6JHQcl7Bec29g6GTNVPfIf8kjxqKd4zb33sAzuJf+Icw36HmCLHA2
+vfUjSXv6PuMbkG/TXh0dLb7wxgYCLqQMGCm5o3vGRRQEUrkNrkQUmbvAoUp44bez+Vn3JHvYCSl
z61bdiP1biyCqHYeyuilKgsuC9MXkFV0GUvmp5KM9WC1m7zNJije8m4OSsjfwQHH+WMTFOaxxDhs
qJkrZ8ZTCp9Irrp1FchbThMqCGg8iJF1oPxhzQZDrspmvldh/xyRJW/5oxYsRYBHSCPr7HnN12fR
gfTgdzadhf2PoIZ5lZvAfXue8ZuIvLsUMUH+3AEgTIBCdL/GOoDWJe/hAQO30A0CPRF7aOAPoySt
NU8Xr5GvIWwe4DaSFrrmJcQIvSpDzJJLxllR0p9WovctfUBFEQQAXwSIAiOqQw0lwIYW4Jks+Zrq
OuOHTrsnE8xAUnsb3P+nvFqMV6FxBHYVZG8SeIE7o6ZPQA3iKLwVCxZ8tMDqwrPkOW6TawkkoR0A
Fbejc24L/+XvX9b/2+7oPcsla/xfXOh/IDLH//M//s1/zQJI/7o/r/TeH6bwPNNnG4/E5tn/SdjA
fy1Mj5ZGfJfcqF1u0/95pcfgqWPNXLTFv7Y0qj8gbJgKczaQDZb45t9JLytL/B9XeluwIvcgOFom
hz4/3l/91yyHamOhyRqfzZidS4j+a/7kdpPEwI1AJi+XkTRz877ovQfCzYGSZZ7XFXIG3DyWhAs+
wVxRTFM69bacgvrdl/V1qseX3Dd79iyZ+Fry0kKaMdxthI3LTZx7E6zpGsluYaSu4id3ZElTJVSo
ukNpH2rRu2ThQki85mj1K1/01VUBT2jD1CPrNntb3y2di+HJw+DicTU7+wLO9b5DeCXQ4YtntpLF
pqRGlXusErs6H923eFb4/9A1oQ5txj6nPM4mPGgt6fuUuSzlLNayMdLbS5eRtIHqPW0YePj6Z677
3LqGSTgpIzo06ZKukCtCI2PnwyTuxc22pQsKbO0Kmvs7iSyusASZOmqX10UJl2l0WoKdOOi4jOKj
FEdnnijEM41j53LHgdgMdoG9pWQXfk2KEhhujw8i8ZaXsGOFuCy3apmvreW8iJrcWW+ly8mMWJGE
mi2kyEu2rQOnSloP7I+BJpWA0Iik0jJDcoq62jL4HW5VBxxisOTk/GJPYX+IccQSsKvGkUZZjv5c
uhK6iN/epoXKuhFO8BOl2mejrpqPJqibZJ0IuTw3A8C5ddDpZk7LsOgkm+/GKWQMSHkPZqqhqrwb
LwmXGhFYxF4F11+SM8SHZtJTLRb7wuyDa5zAA7LHSt3oyc0vUTV6l8rOnps8yK/Qa+QKJDUO83gZ
m1s9htZ5pmeYWGWd5cRoR+c964bwq8Ygdl44GO7K0cOURUoQqx3dxOe5mM6uUDZ2yHCr7EJe8XOJ
2xhF+X1niWCDp9LeGxERsyL3XmBvcZTgf+JZPTR71di0io/j1K0HxZTTVCyCWRFZl8rkQhygkwY0
+d13Bcpm3TXuFqe+/ZQthDcLq/PvZRez92pYzBd8xPV6aYbRTBGC3096HTjAqlA0JMwFtAtH1sjc
3BTegRo7h9wrelLmfKIfSzoWrCSgwQwFeW1WmBFVfZYmiiZy483D0cZ3WNwaiNLhAB9FUeSAi+6B
pHR8qFo0OS+oMf8CiMRFSEEdRRBJod5qiiGoLDqwfH4xs/7NjeoHPyHIFVAl4WTWfFz0j9i6zcMc
L1RS/56KsFrr9zLhOGZkMmq6Q1h3sWRmnmpK4mx6wBqYtILM+yZLCzugHsK8iBE0lsTZ+M4otlFb
hPu9N5pvth7h6DaNNqxg9xHTXaHHvDpW576GctdW+zRcvFWs58E4FuE11jOiKFvGxVRPjk09uFfa
cPzfxmGAkrhjDrK2ndWoZ88Uy+27xzgaKvNX+HtAnXbc6CEKMbiWeoI19Sxr2u7zyHDrJsZbGbHB
G1DiWuzd8dqIGOLmpT6MTvnA8+m+UDiMWsIlOITAoffrrhvOpEmp31NdfhxyZ8u9g1jptPxo5nzc
9JAFtzWDKB8eApuhcI6A/iWPW8aDVBo/yo5Kjw5m9oZP1f/i7jyWW9fSLP0qHT1HBrwZ9ISeFJ0M
JR1NELLwwAY2/NP3t0/nvWk6qiJuzaqmJ1NXFAkC+1//Wt9y8ADnWv+dUkbHAdD+NhKdT9u748TD
d9SlMxWCOqfGxj6widlwN4PXbFZfdJfuAximYTD8ytl3rwzuWU/kXniLSUUDsxvCAu4XiK+hrfPj
KOvLJApB8leePWH217IU1JE1LYxKKpz6XDR7EbFI96pL+Dtu5kIKu3aO+WNnw9pwa/3UBjZBD06f
SJEI3HNTmLcxERTdt0m5shNp3M1sUg+pLhrqQAndZXS9Wx1Ayzlm0kFeSjZk9fq9HY3WUlqYVDa2
ldRPwTR5uyQHkLm0KGPa51Pb3DlZBV7UHOfuQDkpW9wott6bmNUHeF93j9Zrc/zU/A241+EwNsOr
RS8Jw1Bn8UZ145cT1eWhSTT3WLZmvxkq072IPNo6GYDsrg7bDzkO9LpULUjPktnAgSbDdi3uHtvG
XvlevQtGJ9dWpqDswMJ9oWgMIEDyQRx8WWQklORw1aMAnzsjKvNJB/jXyi37RN/hrTN76k3soF7D
N3x0WdZSOPdGmHZ4yCzNt1ZsL88+BR01th+a96x97g4zJ2TtSsKOPAUU/C7QiFQS56d27h0vGA/M
xEy2SDHANmiQv5hdtu56oPmZxyPVTtMTGZPs4o9gJ/grNn/9OPjfTbv1fYuUHYev//igt62a9J+F
2z9/5O9nPFDcDoEXHzgi4Hisk3/KtibpO5qfCK6bjs3v+aczHkE62JaqEQoHJ//+D4QamTvT1SFF
++Tz/mK/k/lvBzzyfS6eTscwfAs7Ji/w3w54YzF1PMJ1lpbdRevrZy2Lr3BOD5RfxsRPxIGSKhxE
nneY6o9amq/kOnkAeyylKQxdeMR1/RILBUSLM5WHRIIG7RrijFD5fbPryzuR4PAxq5DVEjGIhjl7
Anuq+n8PZoIFKcvHBY8QsbXZOHqMfGRrx2fk7hQOGtoMonFvWjGtudFB70FvtrWFG7Pp3i3JRrxO
/JEqCfeoq+x3mux0WbDjcs3VFB1J74w+bG/wh2ZjA+D8lv68w5CPkwD5Y8pdbnkulnOc9Gy75MHq
X10vOAZj8ua5LQC24n7wcneXu2OBsx+jl1aG+8QoXuNercK85zrum6Uj5YtIiPmHlsHbCB+kiL5i
AnqVTa2iS2cfZQZ61ZyIPRyCgplPwETVJ+dUFuZ+Njgv5y4lCI5dXpvJ2I/onWRcrEWTepfZY0Xa
zGgc7VdH58+W/lRekZ91r/SzsL02aWyRLDKZPzlyDfQ1Gb0gxpJSBzBG/GzoviPQvGd69gTh45vz
6puWB5vYtk9zw1swFJL67LEHzQsbNprBjvQEh0gyzySzdaydi6QRzX01tO/zZO6bcXgymgFziR2L
ZSUKKrkQZjJWtDwCjp1ArkzD9HFqywez0IhBmA79F+G5cHiVQM09Z0DfFSmecs29owAXVzocjOU8
o8t16VXzu40bwKrNvflQd+zR/ZGBowVK0GhiZdoSa2L41FfDZQ4GBn2r+Ghn0hNZSNVniaGisdoD
MLIXZqxhpTucgzx3vnlmipgDdMwKA7EiZg4NW0f5911eo40LwUee8EV4MnrrFunBKXXkHlFc7MLZ
5mhm3jvGPF6HltklKqN3NxMIHSNJK4z9acDlmIb9XrjmIetorEoycjGjfuMaebLm8pwP4T7XtEvd
Ddz+dS53M4a/mmgbG1KptI3yYoj6WgQxpexO/pB3BvF3X77Hma/d1dP07vt2vOxrdgGVgTUIIAxb
jUbfeGw+Zt9mac3zosk1rlzqSaOQ8yEhD/fK2/FoB8Fl7AWyq80p3SW+tag1US8w0drbvGxfjdkM
oJtz2bTJfO+OCW68qABzG2V3raXB3PE98e646WV28pbzW/KZjxnZNspr7s1oMM6uNOY1nd58ejUL
+bnFzJYkxkNSyXd48/BNJNEUr6XXvsOOfWqC+KkSnQRcGozLxsA0kASkVEIT3UtQ/cRHPYnjzIuI
cwxRoR8Bs1DNq1aiMyZow70GJ3pVaJg9GikMPA2YXt1STsdhaFXei+BpPwCQDkfyHuE0Twcv/LLM
dlgrusGiDB1jV0rLpC4mcLfU8jpLIo68m1gf9VR+oqcS6/CezYJRZsr9Xd7gRuDuPO7slGLhuNUI
UkTeT9xIKgNMUF9W4pcbmjJiRXCh6TNOfDZSVQpnmJpbhDwERhchN3XFC7Z9SEhu5u1wX0PdjUAl
CW+8d0IvPc3YQPAktXhmdEyEXngpGv6KkvlplZCLZPPQPbsYqcu6fK1zBgl/Np1LHckLLarp1nUg
pbiWobE3Qc1qEy7mZNj3hsp8epexMZgViKodOcSGh7TTb53Wsdy3q20gUBA9VZHAoInXpP/BzYgb
L+vIIwnG88p1qM4yZU6GaQoRkMpT5ZQXGn66Nb/kpQHHVXNXzTL/VXez7i7O6TwApohlyYVdDEzp
aYw8c89UDHJH17mjjOkGCkW76e0QdSGtN7OPOzEbcSI1Iaz8EHtpnUbVCmzEYqLg3GeRSF2P6tWh
xKlIJe9lmH4mEtXSQP63K2ztuaYHqzAoN+HEODyHezurA55GGdLBWE5L07DkzhNsQmow5JlpfRmd
eSNpzcTG2m3ZelJbRcK5aQ3dfEYjnsG4GBxIgYdYjb83p/pX6hN9Str4p0aHhnGVvcAv/pQBhP1K
thvEEAnWYvoshPU6clfF2Brf7KhBGpjYOfR2EdKwSvZb8ChZtkFsbCOj+RizeNuoZmLd5D7uj0Aw
W8Hk6jpDeZ9WxQFWyanV/Wmlz3ZwrEe73JshViyTk/ExCcnrcsPcwiBqqC7DrY7H5T0g8WwODAfg
f3wwQIXiAeVSfjY96flCsYJ81n21ogfFFTsUX+wGX7/Fii/UK9KQDXKIy/LVTXhD+OlTD5RooB5s
OYIpsucRiaT7ogDwpwBjZAZOBwB9PmYNbvIG1FGrmEepoh/ZGXeIHCASJGVusI6OYRlWUlHOdB5g
AgMHfLFmOrrAKrWKr4QmES5nkEtjLG8SBBP46v6c9uLbAc4UWFTeKVoTh/lPwszvDNpnTaU42xKn
OoAntmPfDcCnxsS0wEZu4WFJvBuAQo3AoZAc9nLgXmqg/LB922Yj6bcIoNQU6ifyLHtdkabYP140
0FNdSyXF4LX8UrBUMuDhSSitX1khqqsHvIrC6m8JzMqH1L2IwFuVYK5ms4M0QEJb9bSWUPmNYY+5
BfDc/OCByZqN8MsFmzWDz3JYiVP48UvkYp/l3Rv1AruoNa8CtQRaNQQumpg3FkiuWavbVacoXWRm
nirF7YoUwYvTx12ukF59esJLNO6d2NuQMt8TlFmaI6ykxF0YktfqzZuohxI2ce+duIa0oH4F9bCz
gBKQfonXQvtqTO8gNCQ+xszB4gjRwyFzkZ3IdmMCy4CUNZmRblpbG/h2kedVJLMMpJmu2GbaaJxT
RTsbjfZjUPyzIWfqNEGiNaW/yUGkBYqVNipomkN7BxA1Fh7PPVC1PsqvhaKsKX1rmI3XGPxaCIZt
QrhBryK4Cp8tZ1MzZRDbctBtVcaGLCJswtD6VQF3kygfPrC3GOibigFQKXHXSYcXDRaOfD/xISV2
Aozzi/Le/E2QE86lqvunzOtfMOauOJciukd3zQh7rnNQzhSNrgFL58/9jxXDqbOa+ZAArktdCX4W
lF2WlKcRtF01hUdDV8YCRb2zFf+O53iKYRcmXoWw1AHJw2ugLz2weVQPE5uYacFRRL3et8Z11OkG
ODZ4e0Ztv2iG1q88knWRYvJ5ZUwJQ9IdCsXrC4cYH5dC+OEz4lAIt0nSQ7jClqPOJNhou6R74BGO
FKl4gK0LGbDFxAOf5ylhVo4UO9BTFMGyhSdoABYsAAzW/MVCEQdJpuZruyCqBIzQbQ2P+s2hvvqK
VMiJ6DNOP+ZKJouubeiaV1RDnzDTolakw4aYbKbYh1nUHxEhEUVaPq2CyP9fnzj/5y4gfOs/nUt3
7w0FQ+3/t3/4/WN/WorMwGIDQbMvk6Dvggz/u6XIZmq1XP4Hgibm/5sM/9g/eH9jXFSrCUs1A3sB
P/THeOqyz8BNFEBidX18OH9p/4BD6d88RTrmCpYZVEc5igRj/zviGzJJy0ODJzmGXMzJucHZFNnM
oqKb7rVLVRI9DV1S2yERI6/ECQpe4gm3d70MY3EOYyfflS7nReKpMwfZCf8rSuCiauU1SfVHjcgA
4abpwRuyjOxATrlggoFuyB9xjNJCYC57D/by2ODsbsQ10fmiJxrMOzy9RP+CmaAwTzV68QD7+Va9
T+vgVucjkdeIrYbNAV3rICZoXYB9F2gdd8zoDCWFegZhPbs6AaHR7jmCNbZLstyvCEv793U83yaX
+5FdSjbOJLCsuT9qTafrxByJNMc2oBGaAwEWtEjUxJhNTipkaghmuS/G2Jxql0wdIaly6ZGzwqdM
2MFI3/sm/WEembb2ZP0YA9H0wEh/NDQyiATjuMSa8zQm6V2fYJ2aa5wF/KXucbAlzmbfePCngQNA
x6E3Dj1t5SbtwREUQHPPYD8+kkm04OMgCOfpETr0Zo69F6sbb12oH60WPJgcCY3kMK9xm3QkGYkt
lcUm7IujlbKd1U2muDR48Tz/1Dp0OtR+9ITVaoOBCU2USYIhApaUHjpU+mXBqydsY2tWaX6sQvhx
lh3ESzfnVtI3zqbK4Nu2MammzgrPlIQ9dyW6YGl1B1S+fAEpK19qlXoGeTxZCYuLOnuYK/vUmNoD
wA8qkwuKaksbd1M2PeSGH+4cGZ0bTy76nkuKGFzeEcts4RaUFOigJBsNx28KCVqy8S4eLPJXR32a
1pVbrRvu6ZpIafT1n8iakmrJjhU2AdBwyIDWdIo68+z5EGyHQN+y7r4mXHF26WyKiDk3Ka50pzyx
dX5rLTgAeg3BcNa/FBWlR32xTG9HTcILkPJ8BWGIPH+8Lci34Fuqb4U3nfAmbJMyeNR8zF9QVp4B
C2yF3XxIgdrs0focGMj9bfbeOUQco87deiW7Y5ssE2Tvt7QcX3OZ03zaM7fyLIJOXnmfWdB/pnXN
FBuAL7XGbeNZW73V10T+WGVX/kVoJgN+njxRfs1R2w/O01DvNevVrK3tGDr2ukoLNMt0S+imXg0R
T4sgYNLxXXy5jg3UVHjvXAkP5J+ybdAYv6ouZZqXGi7x5qZjC+jn7GvIuk3S448L2vCnqLR0j5R7
78yJse6HaDfXrVz7Y4YSy3CNLUTejS5sEW9+cRWdgfrfH6d8zkiNoNfkKU0lT2LEw1DGHG7ycrhU
zfBD190FQ6C5HgYzpgOMvlwLS/0qnBE6EuOZh+KNlttBseCeU62CP1Dtq7Z/rpKtwwkxz6ijKpOA
VwkcLuNDp1Q6fLAN6W1l6cFaIXh8ZMN6yBIwIKQVKLdUZTKih0aFVl5IBwN/HH8nGtjWdn5ohjZa
RWHtr7sJoxLULG9VurF56stuB7Ju71AivbAyHW06S4c3GiOfZKAj48e3NDC+bQLUXR6SvUR1s2ND
fQkWjkgofWQBTOUXREy/bl9wH216L/xoqvE1YIoQQfIW2fpeQW7yycINp9FRWgbsaeX0PUbFKWjH
cyvg6+XpfAlC4wog4SUZKADLywkys/kgGgvCSRrvBwMfdKV5LymH8SbGJ9caLLaQaNCUjEVU5NnG
iuTHaHsPCbhK2x4p9ywDllDQd4jg0R0Yg+VnlestSwfu0Nyw+609Tveyx9/HzQX0d7l06T3e0aHD
zsLJJ4JPDZ9tnImV38Wgf7qDaUFT6t2Uvq0alw8co36ThY7qt+1+gRk+x1OaYMfPz6WGd8VNYJ0m
YSm2xuR8yxiSSd1FbIVnAH9ZidxJuBUrbM1+s6Ebyh3ZQfucY02vexhD230XgdqFmGR5qpQO5ATr
C7nJaZ1w2oYH81C52S2bPYQyXX/I5piuFlGctXDCiZVeRNHfxrq5H8sZaE/9SLbmMLdPSYgzMmla
2r3DbRsHhKrB9JHvheCvM9d7TgIM19vh7yT4qAOR5CNc1oWwt9Fknv06o7Slx+jdj8HedZpnn2cl
nU6AePvUX+c1507OsgmR+ulc4zMlb5Dz+CA0abhUQDviwcYZ50AtpKiC7dTU7O3e9lYDZQtTkNS4
QCm0G0Z5xjv0YLvVjYwLabOizNetAr9lujwWHeBGV3ZPUrL9dd0wWIMIeYirAhSUaoi0MsQpkGJU
i2vkv0B7vJHCunf16qXrmm3U7CtbLpvCXtMVz1VNgh78Yw7nOtrMWWxyfHcAzMrghqLz0gCxXLpt
s6U68jUkYrKJUXYjWXO/9KIN1lSa1hXzJddaprqmfqqb4F4zjcdINqdR7y92EZc3baC1uvCCSzbJ
z9SWF8+AMYNa1a8Gj0uqHTRB5rP5DnIQA5Qr/+K2CSd+GPls4vZCxPSiT73KqVZiO5lmvnVyfzNp
/nc8YyiswEBu7bz2X4SDaU8MBELGbHytuVUuuTjTBVwpNmbJCfA5/kBaL3qt0Rbc+kZcYjyy05k3
scSs3ZcvNSA8CyRlXxnBqmydheOR+msQM1BWhkWvh3sjh2rQu/7BbOSNqO+V6PvZb7S7MbYf61Zf
CfwOv6QTvrZt82Lo2qLG+h1JSMeyDwE1m84H54mAA0UjN/Ec3Y8sR9jbYl3mC90eZ6s2lgaIfA47
4cfUTB4zbwTBuCKL5fEMi5PBWVh685j2IcTuisdwNMCClY1cm3CP6DWUcLx6VISSbGeuMVs5Osri
oOOeGsi330FGqldRIX80jgxL3oo1LY+PxoyFwKD0YqER+QL3wIWp0Y4msDzs8vEXnjm3xZIX9tvM
TRmlLLEGcwqZbuKrkNvhU2kgOdFFQ6ndyBqcPndyuekqt/ya1nbUbtlkx1IbA+BldFxFctxqJc5R
y5ktfC8AMgMNDd7qvgfdZNlh1o89ZWNUFLfUgJiyXCKMbPWZT7FTtSipQfDUbo5GnqHQ2+hEtBm8
s3z6rdFty4qqdMKlV1iC0yKQxHExQC80ASHDncK7TEd+GGl24dJrO7xvxD31hYaXYGkHxpEFf8bZ
kZm6YqedJHN7xIlQr6BEBOukx3yM9P7WxuFlqNQzzA0oSsv2XTZuk666RFYFyaEl8c4VjYXbMRZ+
x8VTwGRDj2xWrk1b9ygq+TiF9bCsakgegxxDuDk1glrqgmAY6cNKZz7Zoa7VZsA+NJ29AcY3kAhk
TSLATeTum5Sr6NGkKCuHy5EA1/D59g55piDQ9aMw84dAxy1QFce8Ma8ywmIotPiOSNrOHdq9pzu0
oKhe+dCBumOjBViWXy2c6CkLiTPL+BwUHZy8GsuH55XzNiq6+8Q3t5GbAdSboFFUPINi/6PmXm/V
uF6TmS4Fh0WX4iODlHYWtOh8euAdktElVNukSpieHmfOZxboKrLGAgLVTNxdk9auJ1DPhDN9sdmg
V9UCpZ3iTsBWO6u2xfrRLfIemBSistRAyffonBHKJwLrEYUwxh9dbyefyzeCvxMF3rrrIlAMM5ak
uiy2bRh/xRbJB050Wo8UHCmSUdHuGjd5tpGjYxO1ttC/e95Jup5ONrYMF6XIrzT6t0P9AQV8leb2
0bI1HUGk2pQOebLew63pjWvL+25ncfQUWTySBz2Ax2KZLwnnkBA4GHosagb0RAhx5VPSB5IrDU8E
UxrkuulMsUGO5tp+BILkAfLoxoisjcd5ZplEPszgUeGAxxjeu3nUI8yjoMH8hGN0nn6IbsIuoWNz
rGUIZCFEaufITUihetMpoSE0QVLWGtLvsRtOjt/taWugbzymjZeWoRpvNt0FHHqCbP5yoX4uuIxN
dGA8117hZAt95mLqsf+DyKeRFXxMRt4QWC6yiJWA2pjkqakFq4OG7TplgabE/CNRFYfb7Fb2Vjry
oeSTshpKjURhLzxuu0ungULn1/Uh9fWRJJh9Jf/fLBM8ZraHWKPX7Ja8fH6qO2zB+tBtXaX52GhC
uswOWmc/0q4EgCk/mZmMYKn0NPp0OEpninz5xkFpWCAibwrIOKDLtjaFRfE0VHd2N/S7jkDXWUuS
/Tz0G9FZGBkqiKZdg4PL23d2dNFG4L4Gbm9DJhc/wJrkVuYO/w07leCOdjZCfQKyM+dP4Vp3omTr
a4rwPKfw4SoUeqeMty1gfK2VO9rEqdBbRfyzyrgyHtC65cXflPJsWbDxJ8/EHELj4IT1uWSc4usF
zsuaCK7o5h3UZVbHLqCU+qWctZ9WrwCnlFjk4w+BkW6qqo8oKErMN8536lhX6C8YbHWExdYqLomw
b77x01rODXLVbSr0BHkBKb4h0r/onJRa4IljkzTes6B8K8YyWNthV97gc5Z0LeGQ6QAZ9AbYRrxU
FapcBpOhfR/7wd90Uvegt5YUSOk2kURJR5MIJ20FrejKzp9UUzjlKlW7i21xnuzaWBUFKyUmtg5z
NUD2342WxeCTRrLFLm/jbdQ7O3LU4VIHaENGtVimkvx7L4eLqYVvac0xeEB0yJrsAJF83UlrPZrj
p9lqzRrSyknnJmRanPjSEISylZG1txmiRNOkgG5yNI0yZ2E5+XgNB26iBY0k61G2P0iPDrnCeadh
PqPliO9vg19wLTnRQPlIAAgO3FYMtv2zPSCaG/JcRx6Z2OK9SKdvnkH/BRfJ/1RNz0aF+0+RzndV
/45X51/tJn//qT8lPdt2yTZhE4GhGXj/kPQc8oO6g8pnOebfo4B/SHognYkJOqwtSQR6posP5A9J
z/mbQ3wRFhg6oaHjUv4rlmLXx+v8zylBpeghcVP9ZAS2Z2N7/lfHSUkLr4PdIlhSm0kMvR5WTGyQ
wl0OiNALVkODT1CU+R6igrmOMnLiWtVv3IEytQleJODOn7ZFB9QrMAymQIcpm/Yxj9KDlYGpcsBV
qlSh6ZWvmZdcpG68uXPBQBe/BnVLHNChc3cEuOSJmvky0CC0D+eiGyA3MRPWkwLKMyfGc72KAzbZ
WuGsu8F6ysN4j+opDoAqsayMiDoZJP2GojdVu9M5+rCcbaZmDvZfzpQyXqTzSQGDl/3cb7y8HKGt
GxaGLpqlR7rUosBFB8fH7IMAC6mnIJgWfhS2IBlpgrzoYxDPgAQjXz541KgvxxE+WF0Ty2YyuGMc
f8gpk5gKJtBadutioGJa7w9dXrB64vvqiuBahiEtz8CQdzlwIfTREuqN/zFP0UdgxsVi9McT4eRH
0btwC2cHbdE64+bdh0HGK5vbX3GfrwPqcfqgBxk5reH/fwoRwZII9a9oLn/lFn9RX1jsNPrwXdrw
OukxInyWcShOgXmOKf7wxGcq1gdInwSLtU3LlnjpQrxdDjaWFexumCQVJbRXvNACcGhYuBcodRz+
QYpKyzobGYCIDthoxH6M+1na80xsCUDB0JpG1JEcSKkEVtoGnr7FZl3dNYlP6qOwfvmatce2HCwt
5F32ytOi0HGNAvjZ8rVIF71ioybVdOusQtHJpvuZPBpHYnYaVbWPW/pgvXlPXdKVXq5NZrBC5iaH
/2iyly0q7jBlN19jY26wYsZ9vPPsUul+4WvI0YdEf25tWAYpVzcRpHLg9NWZAnkAj+EaL8wnTM21
m/cPmMUT4owsXcxs4ANzyzds1E9+3n+3wlxTg0YYKWRYrwmDC4Q6wEAIDGXyMNoG6xovvUayPUov
ekH1PptGeKsN3iqfnMxCy6yfiYqh1eDonK/jZMT0zOK2bFgaFzFwKcO/aEawqXz1xxkAIDytlEdK
IY5RORrHkHzRtgpu01xthng6xsiTsuivPXJlb8U2D3jzDIHiRNsCuR5cXOSzjnVqnAYkT0/E9+XM
TpM2WGjQOCuGo4NEiuEbkQXRNGObdqmUjpoI4M/YDXCk+A8dUqvy2eZzeHIMPdzJeHgolCobCvRZ
Hw98jWA7IdzWCLiEr1YWgu4MrRhBFo03CDhscMg99Er/NRGCTc8/d0oZFkojHhCLOV9xxjcdFKDK
QUlWmrKmDQZjdfBKhzKeEi+iB83CwDEOEH7b0YLAGz7SkhSg9PlQvt0XbZwSIHLcENzs2KR0KiNx
E5TrlmOQPmcd9gVmuhn7jK56QG6U6r7UIXTp1k+OuE7IMQ0Csp/S0/GagDQZm0MuKEBxlOqu8z1R
7DY+bBR5QwbOUVcq/aD0+tbI2GWLp0kp+RGNJIsQcZ/ecblykPsbpfsPLABY0b47s7n31WagUjuC
pGDONFkbVFnw0qk9Qs5CYWCxINWGQahdg8HSQVQdxeRqDWGzkHBmvhZV1z3NalfRsLRwWV7gNgTP
zBd9Y2h5eEQGZYTV9OfGpIqjrcboTAYar/zsnb3Gr+96tSWJo4Bzdjqstci7hWZf74mAwzYuh3rh
qD2LIXJuS1h/U7WDYSK+QvIHd8Z6hklgGbKuGZyHGMfzcmwi1QYUpuspHR5CteNJQmBeLH1MZBWy
m2oP5NMEwtKFib0f851ZludM7Y1YgT+5apNUzgn8HJZLUVpxwKvTS5rZXOt4Cl2OO+mIS4v/i8Hd
ZMpXvihc2s4oqSCeejSr/jNuwf16nrace2q2m7baK9KOHufe1gM0XOPFwOjkj2QX8x21aC2k8vYI
pHhb6v4hAI/BruaJRvHXOexXBO0eGRa3zmRiSAX3wQfRa/4Oxz72mZKWkJ67qBzGIxYHFRJmN0Eb
ykR/UDUPn36nn8p62OKwO+dReabo8+oP3pufxmvbZRWbONWj9Eoob4UOfmOeg5Vlj7+sInu2WXBR
TL8uDeD9LJCVV+/ku9rZ5vG8JC+8S+jtdER/0RL/MM36yQL9HtYsYgTHv7QncC6GCi8ewsVgZmJt
ChqmS/z8G0yuIGLt16LRxqXhmZBTtJ84drdDr9/ViXz2QLmtKHvZ4xtMFx4QwQ7XEKRp98a/rkG/
Ewngy4rtp8SW1DjkWLyMUK9KWRdG+qnZqSTlzzeHcl/EtNo94agesRD4wWsqK9bvbTn+GNIyFgVP
t7DxneWgddw86DjVGFnIeW4zoGpZXN2jjBsryLrbUYcsVqdYGcgwggVJ1nknnkVanW23+Glkf3bH
vF7o/vDRS5uUpu+/cbfB3NVfs6G/albUL4U9rGWFIujSqJPiS0GXnM6onE9SsPgoILALRD5PHkQf
NZsUq8PSb2jQQoRgxKUZi/bBbAcUAZVmAvfi8WJIGu9oZ163fU7syXhWdLqUe/cO8ePcpt1Sst2c
tA98t7K0xlWsT9/c57FeJfeaRaaxZ92w7BIrAVRIDwJdTNuCVYdCPNlEe4yMKKmexySy6xGqUvHq
ztxpuCEiHsnhp+uJF2Eq4IjmRlvMTus0shiP9flaU/PLQi+4ThjPpaArZm6bYQ0ECK1QBxAzrTzT
X2tdscsM70gG+Uxr4qOf5ac2ynZmxFPC0spthM9J0AeFR0XKaVHJ5sutiA4nBiFI2JM0JrOEsu61
pHyzEuPCpvqxGEEh2Fm17Tu2NRV63V3qOK8tHj+ZO+PC6u1DXqU/1HA86hqXCr1YQIZc62BkLj65
3n43+FIu3ZL2dROU4nauqofQx1qlzQSehdtfnSTaS70+2SF4c2CUxrJrs9PQO4ojhht3bn4VHqaQ
eWKLEgVftpmGG+F13GfSEYdP4u3crD4XtBezWzlrU7AZU/cHThDIPDiUrgEVzMC4VoTDiUKnm1uM
uzwZj0YGYnHgMhtL677sWEaXpo4JuwUXCPHxF6rZayrkFy4PuoNywH+NN238BotkYiTXKAGE3bFL
XoYM0QdZo4kHrkfdU0BlQikugFNpsIPxlvAUDMbIWLOIO7jS+g787sU15k2BK4eDevFfcHD8d8wM
uBZWhv84M/D4Xmbt/9p+V030r7OcKp7lJ/8xy6mJDOeDYaosAGPZn8QXG1cGPBcMGKb1+2f+mOUo
YHcQEvBguAaiLwPbn7Oc9TeXDAKmDt0xTabEv0Z80dWsVoGrI1r89X/+t/eb+AJe2vLgS+P48pR7
45/qeYyWfvSaFRccl0T1jtbZqcVkFwEBj7VvX0+dewCDwZLnM0JFyFnGilrFgkI0nxrfXwGpLxY6
obvdHBcGJSFYA6KuK09GXcWvmtfUqJGtzzrCGEIqXB38EvdjI6P73MZeAfJ6goAoRrROr0xC8CSQ
2/UhT1YW1bFPbTll636ejE9PpMBIOn5bFgWAxsDBZtTDmxzXa83wN84QYBaYSL9xgb8QQfL4L5IX
/E6K0cd7zAY8mKzmztAjc+0k6uYbC075YPP9OP+hjIvozSSxptfuYx0VzdozyisQzhdV6tJ49maM
gBjUyfjdsfazcb07GeioMTYWBuRf8tks2+niXhXELFKscjLLH6xIbGMQOhB2C86k+PRqlzabvt7g
7chpCMtf27jTgQGG4cooA3fvqsq3hCtmS3axXcWycj60XMHn5ZvIhovVDNN7kVnfQgF10lQrYetA
2bEVbgf027mjoJhw09KFx2PIWf8Vq2Fa92B/+grbE3AwchXIJxaJdcLReY4V5IecMPtsVkkMepR0
/kYeKPhBSwMbkkL5KBUYYYaQAPhE7jUFTSh+8xNqhVIICSlJ2Ao+Oaoe1bfIhr3Dws+IBKBpfLot
QhuGjmqXRSbC+gCzQcJuyGA44LegeEVhHTiinw0FeqgU8qFR8IcCCkTix7e8NO8G6BB6A6ISz4XF
khdyhLCX2VD/SIgStUJLsJHOd3kfwbfR5gHqC/Zi1kcU4CR3FlwKDhYG2jVSY9hdG0cgVMOwMGNg
bWwV3iqFtxi69imKAOXDvaCJZWMpEIajkBgpGwiA5e1TW4SvcUwtosJnRBXkfBOiBo7/KzSMO7Ox
OXMaIabkBPepRk700CokB/gIWgOBdBjDdARXWJ9MbMXU+GGMJ6ioV6A9Qhgf0kkPtYJ+TMAozzYc
EE6oq1gABqkhhIyQQoRChmToCqh2oF2S4slE4cZhyhdAgUZE6F0mhR7hmxL/X/bObDlyJM3OryLT
PcoAx+aQjeYi9oVBBtck8wZGMpkAHPu+PI5eRS+mz7Orrap6rMesdSfZXE5nZQ4ZAfjyn3O+80Xg
5CHyITf7xf0sK4655BHnkGIrqAiv7dJ334SGmiB1YEvyVHBiFi72I7eaWE18MaMf7FvSaTNMCKhq
66Ty30K1yEva4n6uuTdeCsTmrRgngBpxfS6s+ssbuKm7adMceSBjbE9mcphMNOZ25D46ZiSq6/yW
//wiLcYB3cylZLTYA6Oha/kV/HEnQxDBeNa3hMnXLQVDv644BJfI8ow3vccRm9rA1MYNYrcUIrCD
7q1xeadijvqunoulib1FRc9Tw8m7CShW8O4biutWGX1SJk3iEBsHrD5gHE24bO/pAr+KT5uJi20z
qQVIaEv3pCquv6nDFB6vsSP3o1ETCRJkNYL4gI/LwGSJSmHyR+2gJ9GDjjYFEXilwcKwYZnbOcXr
udTvQlg3EIIeEbnbeyzR3+y5eu78Orn4hffcTDxMSdKRk+mmI5erd9QsGEuzBYTD7sjSC3XfLnN+
raUNcLpxvqV5997YQ/5ucIaYatofXJKWBkO11wHHWwQecZUrmHNpucjN5Ok5/jSieXB0xi3uiE2N
UWOTTnx+qT82l+AXmL9wsecKJ6k/FGCJfRNFT7rsxKpbdZsvvdx7BCsiv/9olDr1RXCfeDCI04Rv
LowdbrDqbMUFyBGfsZrRujzZ0XtUNukXxo+CDEuF5ITMQHiHFMbS1NAJ29BBgSLXAhPs2Efh65Ix
kstHsrn4lpvG+enxXa/rQlFeOlkQg6IID0brW4cyQ33svTFFxZ4bQvBGemasBXYkyO/cEaSK8Rkv
VF8FH5N1Zuq66fwUIxymtJfRBFAtubAwrMF8zWAqfKmERVZgAgSCrwJNibjbs99lPyhCYQmw5we2
A66B3I5k/hlxvkPCJD0t+TfnUoBGgWrIx2k8OKY1kOfiF8VxT9BBJMsmqMT3VjoXGrbcNRj/c6HY
HHKLpJVI7bNvmLp82eOFNt29r5L+QKr5RQAP3Fh5+xR3xV1lO2JXdd19XQ3owg2BtoJF1UmW9tFl
KoDxawYAWiXz1gb6msYFB8E5vGAhuO9rqbt1wF0PmIIMu6zQm0b8GCl2iNB96oLpEMX+B9Pft8CW
M96gkpzdjByFyZw4f4Hnw4N/u/KThuZWsZgwyogJaKD+zFSlpcS6YnToVPa5iOQJ4HP7gsnKZBtZ
XHJVfra1rao+jVG9tyu+TWBg2csgfOMUhUZ+EzGHeyDBGB877KIkNIbTwIXK6Okod+pDOix8uFkF
ftYTLGRmerAHg9LLvibklE18aUrKrUUYmzFtZSRHX7cjD/W+GkGxgqy215E030Bp47RayhenRen1
4Vus0M6o2Fwg6/5fHIT/f5U9BGZOTqn//Lj89JVxVM7fi78eln//e78flt3ffMv2AaNgF7YCX/wh
fHAixlCL4AAlUVB5wjn2T4dlSgyx62lqyl+StpyVLWoxJSKFbf/LKBXvH3QPAZ0x0LIMkgyOZh79
v56V0c7TbvFNQQ3kPAIuTnU3PJL0xl3air4BYpiw0b57s7ubHflULd38Rc4wu+/HpnA3GF6YPBbz
cgtSrOXt8QJ8J9y5Bv3ADWDo8CrwEBI0fcHuEdMuX3zrDQcSo35kl6ik6nCyr/I5nQ54t+R20M95
5hCGdPSzP48yPUheh5bjNh3Kghuxag9w20+KU2cf96eesTuBN/1uAbTPbzinGKfmb28etRADDkSc
/LybbNC8pVStPMb6zS15hcvQOZv6ne712y3AFempHa88OgFvv14HfL0iUOCA/qJXiUWvF3RX8rno
NQRB6W20go+exaXM5FMQ4l8lMPjgh7A0KlkBuNBr0sDiNLJIcUm4NQW2bcHyZeh1LLIovfZ+rW0A
xx4xwWKscMvXOWKZz/rh3hqoUwKncoe2wZSD1dJgfKKoB2AEACgF7FyHdmqfCddU61yvuYXlQUTT
QUnLu0iW5Vyvz6leqU29Ztt69QYU9uDo9XxeXIy4IUO23iRdG+trPcu/bdWck/o9e9/8QBEx32ny
o9c7Rqf3DlPvIjzc7CdsLANT6RXFSvzBpPedCJfvS6X/zZBNqY+futnftManx57lu+Xd1NsMyZsy
O+NOag5getNNoTe7SW97mUu9CKoSGnxoEAXV2yNTfggY/sn8tXGG4zqf/VfBjlpZRIVyvcliRGfw
59L7YOsteNCb8az6QiPg0y9D79Sdu2sb8pxT17tMHRWOG+cp09u70hu9gELYsvPHnAB8TgIiK+B6
4FojhiMfW04LqT42CGOpPkp9lAh/nSpa18OUq48aXELgz+rjR6B6tXW5p5Af0h03+phS6AMLs2Dk
p7q5cmzoCBapnZVzVoiy6MkGH/OOHPAeVK7zreEs1FICf5WcjgbHTR4zfWAaPMyOKk8/5ehtzIq0
qDVQNMG49EaqpjwzBwn242hjhIxBVbtusx0mjKm+yY1R7dIgea8FNYyTSWVoZMiXRY3lpjCy9IVd
ar7PEGJpeRP2pVzs4TCTWtwZoIUiqcaD9pmmnX9vKy87TEb14dPEt6lAd8RxcL+wNa6RYPxvUbUw
yhbiokrNLWoxGMtaHcd6HiidLm9qQ2xrm9RtGmEkjtKGT4DLdErDshOScmzdTztRVJQZeLmy7VgQ
hlz0PC6HuIL75jYL4jvyg8M6zYKD67nMmMKRRB2NhaAX92CqYFdPGDtGyqvLGtOKIMRNge61imeu
9IG7MaTRUBiaquMQQQ5KQHme3DIy4JNgyakLuXwULjH+hB/TNjrpbcJ4eAgKVpvZtz4GLlA8xRsb
NieTXLBO0s5SpnHeS8YX9eDL7nmMFMW5CY7fvppux5oPLoLGpmmsWFcQY2Iiionmi1KAS3y3xz8r
Uw2Bso5Q0eMX/sk3v+xK/l9blCT1UXxrGAbzPiLg1Z5DTnxFk623sWMfa1lE1OdaFu2kNec8sPH9
bZzaqMLMuNdLZ730uM7OTeFdIVb1IA9MzOMq6rmdqDr7vuQ5ycGsnNXeKZIrxZ6scmXxMACIo/9a
wvuQSbKxlNO/xFP/ksxFeJJSLyhljtmla7+QsSC/9st2xFYJj1a/t/Euq9JdaeMuFVO5Q3VeTQHf
nNlY76PXac5ht204Hwcqu89d54UxJ2enOP0Rua9Nq8i+RzZ+1WXZGHnf7jmEU1nce4dp8PuLC8Vi
U1AauRpj1z42Zcl/4MiDZFyIQz0VG7jwzVbQ98GbmKDDA/9GCLmLKqu+RydGj3ef0sq+Z/DLWiPw
0RKECdeQkoYzB/gTrZGkMdp4WhsD8DqrnfFVpixnVbHtff8mss1j1U7vvei8jRElX6ahQ4wy/Aw6
+wkI2bBKKDxaRdRj1nCwt0pBtUeH2LHJfGspvsLjfCdl/yJr8xuW8OcmmU92jrN53UuW87kg+OoS
oOV4CdecaxXMzUgIjpHGTGhxMPdz3XqPmEgTkkiO1rdr13P4Fu18J5AsD3bkl69+Ny+XpTeK18rL
8xX0+Oxi2AH1gqboP+LWGokDO3QSlHjEtmT8kkOCUneeyo5dy2eXwL+kGuDrRbOPY8kXmoLzXgcJ
1Al/aozbJhD5I+RCJloqqJtzEXf5W20X1mnMF/9CUYJ99LKxfYkrQFBjIYPP/4rWdbOea8JQICT0
n55HzwTLOnT1fzTi/O3v/X4elb8F0PtsSRrOZhLwx3HUx2zzZ/A2f/LHcVSa1i+6n4NSGph/8uHY
v/mcQ23TtsCJC9Av/4oPxxJQZ/46uyWmZ3NoArPNHxLn++t5NLGXwOb1DZFsBqRR0ySFY9qMW8Do
dfOexHp3N6O2IRx6j9SIr0NgmFQF5UtD1/EkkbQVkQ5RNCFzi+ghzHJKFTJudA9ijNsHfD7z2aBV
ZTu3+POithjnY9KnkO+bDobHmHYjyMAuoHshq4Z1P9Z5cBnzsXfOjf3i1hEVTyIq7eqZ6+LN7AX1
Tal0G4qRl6lcQX1LqgMZLmwfxlK0j53XvzuqMD4C1xjhuLYRdhIVvfNC4rlrjB9IZka6CZBM1lka
EL62OWzPqwiy1d6VaXiIA6wGq4pbAc7ZHhdiDDuvZyj7Du+YA+lQLz97vPvU9kRAuGHC2M9ltIyP
qe3QzEeptq5ctvDNp2Jxn/DWRQ8UaBI3rOeRFpTGVPUNzLCK00uQVc/on/XaNAFQrVIWItJD5Tg9
EVnMkq0b2iODY85nAmNvxGouyBXd0VelczqY/nZkl0sQG2TNS1LxVNLuMfk1HU1IC46jfgmolEom
W1Iw3ArYMpGZGqjepIiwLA9y/OSIb+Q7IyMljQ09O1fB1BkgNgLOygITLNJkr53pjii7t7p2MtoT
a678W6cbWNSsFlf/mn03xrbdmIazdQbsFwPdrw4rMORS+gGzZF4PU0eSf1Yy8fYqr0xzXbZFTewS
i7dxIKTO0C/oyoahRxt9DxgBUQXdNz1kAndJrXsTq+26YNwiwX2TiaaxtVfJ8U/3yevfRIv/VjC0
LhNk/v/538V/uJ8hsYDRALnkBLjm9H30z1oGhDy2bWyPmzZqL12VPxUeai2PfHQg1Uh6Kt2B1842
fgtKTwFN3mYNBb4tfl5mX0ivXRr9rGl+MOqBq0b/IxeMkSdB0saT5pXWd/8SeyOBI7PBlW1jOv2v
BfmPBVnq6/w/HxCc0T0583z0/6inOfavv/n7kkzjAVd9l3JTpq6+I/Ba/q6nid88G2k5QC7jqi4s
rud/X5OpPdWeKt/0LP9X9ekfehqQ1sDzAh8Yq+l4erDw7//2Of2P6Kv8/ZFr/+H//vMjaBHG/Oui
DI4LMQA5z7ctaLD2rzj0nwQ1EcD/Dn3dd2BVBe6r8GH+FSkteBdi+Qy25jGeuWpjL97G+bRza/IV
nBS27kSshSbzt4Gs4Yz9JmyiG8PWSni2sbrgEb71iVk+9XoD7X85eeTl2ZTm0W2IswXOJRnHC0ie
Zs3K9BMUwbwxTIVTPP9qNGRzHLvPoAm2w0ByZA56jQ2W8yskwRsj8+8YQuRoHAIAQRR3a5eADewb
94ICidE458QZpeZ1ofpo6xT5daEmfHDQGmbmzVvC1Yq7u3FwOVEaaXlntyk+iwBSs3Wb+7m1X8b2
R24tihUGJjmth2FOqo/T1sqf3HDjRhTxMfSkejQuHgc/wWA/cU2BnG+NpI+4kFwYC4cnaryuKhPd
jUzck+Xg9h6ttD04ifbildOBnNfFb1HC4oi5wlg+zUN7Lrjf8abvqz6EzxMTiGr9hNhYFu8GL/lR
EwPMjekUJHCmQp6L1LyPjPgldLE7uBwK6V5mAEUaNOw2SUzP6NBxiZmopuPTFp2/CwW2JWKeu2Rk
jYjKCnjTsoUJTAOZILwqydgxu16VFe2D0kvBGCbPsf5p4hCovjOBfWrKjzHOWce5POxoHq1WphJA
FpKS672ZntNE2PAoavswg7gFVZmXq3wRAvkHCnQHQMoCic7VKl6TW7S2NgMYT6njpNv5Cjg3PYWR
NCzqwt1s4zbemYvzVwihn/tMjCyYVt9GfCLm5BrbZULsSsApUZWFY9cRztkZ3OUxaPnne8GE3FCh
sRu9xqPpUeGaJPywWMmzb3UcrbO93U+DTiFCsaCju3c3ImdTdehWoIKOxhoYHQ4Ng67D04PV+VBW
rlpPhfpwTMTKInIex4rOIRuXqYvD8BLUyXesb5Sl4zGNBuczbqx+HVTpzbKkGCXLXVMZB8TsT2kW
W1nqi+xiDMQiMedPGPN2nlcua2Tc4yDwcQRjcR+F0532rG1403YReNl15lu8d2bAXNx2Hmo7Q7ON
SN6xrTw7ZvFhtriQhXGksfmJDeaypHyFmdNiBWurZ7czPzxjwPUTOK+ZT40AqNv1GOMs7UxR7peG
F2QKCfVKzicJ1ZtrEXvrnLbgfWNhzA2Jsztd+wZr7TMqnWtUZJelDYnswRYqm6Q6SocKp3kczb03
0vCLDQyoVOAfEWwezFDs4tr/hBwPAdY0XwvT+LK0Mczoupdh0b3M42506S3BHoZGtu8WElHooHup
GIBDRWuovAondUrYjVdJXn0re3xthClXTracWEN3sNDOPYyZQ5GQdDEAnoe07lEPhmOyiSa4dxB6
+g6mVDt73JQdRcscwR847PK+CG3GYK6Wt8arPWmCSz3fE/8+UJl5B3IwpmPtaNvxxu044rkG9XBL
1fPeROU26MAgVMltRVli2/SPvqzOs23QVhJjTmu4U9qh8aqy+auM031YMukwusfUggsXGNFPObYV
/FzjJmyD+7wWHiUGrBkOm3hjFFdRWBqvglGRaeUEx99wOxY3Xxzw1h5dJpqL795zXlwHMUoCFWpf
SWWh0ZhwkLIuv7U8fh0aOmYIOdNRZHRvQi84Kyw/0SJ069Mdh14yqNMhAdDFCPHgxnRIM2RY1575
pNJln1XZm2vU28GKb1TObRX+chO7uvFvIJKBKTqOnyp7PM1GXq3dSj87PWus996W6cPULptq0as1
9uo267eLU/9UQ75JK+YAaNQY3rMXSuz2U5weJmaKRT/fjsolCTbxHI9u90bVH9AfOT0g5jw4xfRW
Tu6ljqMJGYVWe5lcqMElYUNVz8Aol8zMEJ7n2Xw2fL5y2Tk/u6o1VqUh9wWTXLsETMBfqhVxl9zZ
MRJYD4p06uwd28zvSYyFT2HKQKpNKIlspJdtsk6Say3Gr2qR4Avp9VmBYLtxre40TuJS0Gfi2+5t
OXq3cdccOkG+StD9Ax1WbWILx2LSM9VMy+ku7AkMdP3NQPXsrg7Mo5Gbm0FhnfPw603lfrSql9qP
N6MYHkMQGRPK7Njwgwvm8MSZNe/6lJr9nb80h1Z1jyqyaFtz3uYh3xLYO1eW/42D7k+sirdowPDk
gRdRm0BOenA8ur/HHbjtGV9tcGztmXlq+JX45cXUA5rcnJ6sIm83UoKRMgCOxAZLVENbpYnjxoSu
GZRUzICZDPqf3TATxsS6OQOJxHLoveZl971RJKEN3SpO09+xFD6qudbXafpSzK1HishzrG8osBcI
yIwgiClgLQpWEbKYfqzKicMwp/RfVgNmNWSu1IhKb83fYnDenhzPMZXoecE9kob0sbTzDeyI26rB
hEkWI+V/5OS/yui7MBLkR0c3xBGsPRCROyP2sPIvjGfFXe3kXyJT33rVR7ts1rk7CJ4bv+atg3BK
TRlx0bKIPmUWHyhHBvUcCWoWmOSEzquj8wdwKq+eNzzQivrIZwRKzmSuwkWLrc7IyINIeR1S52oP
yWPNtBCpM4VwyYgTkp8hFj6lKcfJitt7U1O3u+psLNeJC4cuLFO83FTMypIMgXsJfbOEdeE/uTOF
j0MAwoBsBS4DuPA0XszFFd7ioPmjNwt48LWXTk8DtYiBIQ6R0e7rpLzh5nDlNUCn8F9albxVKaZq
r95P5bJ1+YtNVx1VnIGb8B8jwektrM/JotErqr/xRflZFqC5euprUAy2jNA3JhCXEzgODYPHLclx
eNd71BaGubVZ6vnOxeO8plqAV9SrM4wj47fQdrdpOu96uC5e7z0l/s/EGq4J+C+qZ64UZ+4AdsP/
t/ak2njPcibIIW7Z4S0V6bANQLjHznRmP36jD/q4JOJkufnWdKzPoZ9PkQnXbuz5+ZjoyWbusWGW
1ho15jzCkVwZBeB5lWL79KdKESUu7wAbUsNOx0gG/K3jbt/P5r7IcgjUEUyO5BGnxCno6m8ioSs4
L1F55kKu8qS55B0HAodlJDTQjMrRKS4swXjn5whsfe49UKrwKO0AWJ4TQncYCEZkETqQOecYQyzz
FUq5vzKN/jlaqKGc1LNlpjtGk4dyxh8tLSDKzZbQ/3fRgwczzAYXe+bD9ki+V62PoraQKK1kh8Rl
vBn19OzHsBMTJJ2iKeXOh+Ny6vyGJs2Sxsj6mOco59Ks5Xrq+ftmz2vYh3O45jazCavp+8B4vW3q
l16QvNAV6+kI4X/0dkUAJy8A9pqYV8+IGE37lku9gPOBos6C578XIaWPSZhSDpTYD7UIcUa483eN
krY9dXIHXPmJXb663fKtijzN++FU5k6YXznfCRKkuwFLqetgJDHx2C7hJqrbj4BQRlMgkBEh3E2z
D+aFxmAySxuhgu9GzEWFhjEKismQtBX1QdFr2rItjAtwWDkFLwiKHG0n8y4JdMyZ9CMQqFWXCYav
RvdT9e2PyrNvZ+AW6yFltV4q79nuqU5hDvThEi/BstzaDFg7D/5NcGDEci5jimPK9hR7eJra9mo6
PNyiPrGpAI4bz9hvkDs8bgtZ6gIxX7B749bhZSo26DEz56+E/NjwgTEH3kkcsRoHWxOH82bM+lva
+ujc7f2HwOseCNVjNLa31ajumtQ+dFm1ZZv7qg3pkhAHfpo0IWensTi1aUfsRoJh7y9hr56ZJfJ8
JOUtTVpnN1KUJFnVoRx4Pmwahuj89SD6bPOq2DcxVjFdgTSCNvA5b7QLVvMQa3yJDqVaaHu9d1cC
mmRebx7ohz9mzphjZPF3FCPzsAXVE3oabR6qg4jjE7Kbb3vOLLbJ4lPmQBeHz5o3TuHaONquvw3T
GeVSEontaMEKmnfXyc514eCQHDHb9TOIVAp4cRKhbhZYVFfMa36ISkPkVKaLcuxH4qnPyitvA7qK
Jm+wdgGMP/yNzAkT8zDB8wDmz1rAfyKt9CHJ/XfyKbd2OX1fWrWLdTQ4TKqPLnGYR5njTUbBud9L
AraIQYesDm7xYCjOgm2+Brl507SEc7xQnMMq0NIyOZzGoec80RbncDf73v0il34lAufZCRZUVu2q
i1z3Z61A8g2EE62s2AOC3HZ9j3w4Fp/wUCn44/idJWw/3BnGYLhn1iZJBqsHMypoVZY3MUGymAh+
oWt2OIruF785RKJ5cqupItkidhwb1jgxd2ZGxKIyXGeN+4j9xu64Vog3d6Gxm5IKYl48F/QCE3VL
3O9WVTF97EoACIN18Tt0fFrxPsCfbVxumxTjnmGOYK4FmO0j1aXTvEFialZ+vRzCxrzJDPmU1PpG
0t3g4OPYZDDDS3u6cEVEeEyxqYvY37rWfG5cnLJJFlwdNb80fv6ylOERd2S0r0fs7639IYBBBeRy
CrO7t+VCmam763MH8KV7mybOvJpm7hS+RW48j+8SDp6WnT67FdUwg9d1h5F+jW6qA4oBoJbN3pvy
JBTEFDtl/OHk2CUNP7oaTnaI/e6QmKSPRznx9nLsyMOB/ZRFeB1GCk5XwwM4ANLxHO+TIHZ8bAz7
QIXtS5W7u66Zd0mbfyxGeAJITrjdUiFbTHscffFdTMTAfFmH665DHs8Kw1iZnWXtR3e+81V8yWuP
32C5q0yFHGW0bwb4kg1DdmjEku8HWN3Ml0iJFcdwtWY8unMWuDOzLb6iNMTw0BWHvMxhlZictMKq
+WyJOQXWDGHGDuLzEhqMZmX+7OqdbPDMTekkwakx6W+K8VBuC2OmqX007zhcZ2uJrrhUEfB/FlpQ
T2oV1ezoiafiXeCQBqW7rWjN6yBbeqbiTS5Zz4MB6mJu36s+9TH7Q6k0g+gn68nrYg0MJ7m0V3H7
FjFyHRyaxAzT+o4oeOpzdluPMG6Y8VvODk177B8PCdDjTUHw+9CI7MqCtS/ISdVV6uys1FE7SMjf
FC2/a2N2mUao+ORxR6i7MtqRkbglAoSyFZHisqJHqLsPiQVickGPbsL8ZKIkcv1vr35svdZ2fh4t
RkCWvfEWZ99hWSa5Uy27xnI+OWpfJjRvfBLBDxkXL7FQSLeMDqjFeZ/95rVueAj7HOdA2FjrdjCy
tbVUe9/OPj3De15AzuKXBbk2wtwy4X01ZeRt2t6+BZOzk3HAUa/hCAJC+pL03Q/OKjm/Y/Ji5jzn
zM9BdeQpJNGiOFTsRUQMJzZ1TCp9i1dnCpE8IcxYXOzqm1lF3rHweJJjDMoksbkXGD9HskyDzz7Z
xWcirT/G1jzQ9HlXSYKbYukOnsjP+SDVyrQ0nzVjxhFiXjq6tKau4to44+qDharDa37JdMu14YNU
6hFMCUtghZ/Gr4j/+2MQISW2T1DQzbVBkY6qxztYUA+R534tvh1jtkSDSM3Mv4mBXlDpXKNq+1tD
WgWwrPK6sCCtO6d+ay31GC/MqhgrDRu8hMvW6/wXa0mODWQQvLhkFkU5jXuj5EJuLJ3cVJS42RYK
PY1vWAzZumwJnzRJEkYnU/zxywsP+VbXYEO7YEwF54rLvELXyMxZ3AhPw4CgGJJisW4GOdzRXnWo
c8y+mAS/JFHITT9hugddC/AritJ9QVBq0/iQ4QOrx0CdHwYneU8yfBuVZjW45k1PoBh0r/zet82d
VMkVaWW/OMwmpKjOIujfFGelaeQsVQZDv4M8/uLjE8CBHb2a3TRuReM/TfC9d1FjcnzMnWVtixFZ
+Rcni41uTdT+OrXpLSoMnoCaoUQec/Rsw59iWN7bGQdlMSGJt519Y/Ac0O4zHzy0XNS2x5JEBS4f
AKt12+1H6BKxfuTLiLCnrkNqXUuu6r6Nj0sJAg5lZy/N5rkqonTVVBVGpKL4MBDR8CYtWMJwAo3L
tCtiPlfe6LfYMsa1Ke/bemdbupYO2cZYnJ0H7aIQfJIMDm5layHjqWPvWfdCo2V9nOcWssmYXP91
QeP/vegPPj8LrfWfSxWb//2/qBAe/mMz3O9/83epwkU9FiYeFtfm/mpbf0gV7m8W2Z1AamnZ8kxd
K/13qQLCA+sfAhbOOcf69Ud/xzg4vzmmDbDVtNA+sCH+S/Lx3+SwP0V/NMYBpdr1ffRj3lVHF4v8
SakoQ2sq/LhkhykLGk+NyL4YMIrqVPjfTG1OChLjvsatZAPT36B5fjTABg6yD+5dnE2R2YyHEK/T
bCfxrtD2J9+MnEuuLVEOFWS47Of0pSisciO1dQruCc5szFQKV1WEu2rmpME7/sAitE21/aosqfqQ
2pIlMxOuDdh8U9u1Fm3cYi69gWn12WtL11LTeVTjjXcXazoq3PKFhagr8c/3v4z0XvPc4qyPaTS9
z/Da97yNHt57L+83Pl78xXT5qbhHI6Lj0yf1PzFIl/tcm/hJ9hvbKIwPSS6ZxuH0H/ijCec/w4VN
MS4XQSKAQccu0hEBAvnlWi3EBszQb99HVtHMn9nZf4UL6u6nTb8Vv5x3n7USOgZFVzJ48sklJC1R
JB1UqJR4j8Z2L3SEQekwA0amY0e6wQH1TlKBVbW5pD1xap8cRKXzEA0AjJKEBLNuLleDjk1w/jT5
9SxumGV0CclWDHUFrJm0RWcGHIZ0AKOWVEWTEGmOsynTNY2YXyJpmNUg4jbmmG7ZAuILB0viCzrg
EZP0SFLuq0rjf5ZNbCThPtKhkBE4LM1fpJltYIVtTD2uVduVTlOKq0GRBRtqV/p3VgQoiZjoPS0O
+baUsGp07W7HZzRU7OnlQCXv+KudFy7hwfQAZ8y6ujc1qoe0Es2mtPlpOtHA2Y/DUxJR+VuE2JVq
XQMMuihZ5boaGD3gvaMruLXbh3qGwcFmRjU4fcKlLhZOSiqzUpdClF5AYJgsQZJVz+p0JTFwnvFQ
ptEpMOdXBUyAOxezgyJiwSbLwdyHjoSUuHY0YYrD1YoE40bnnuQn/cH+lhgK9LIOQZ3G5IRZrpEi
ZhliE7vethBqQ6CXgbhhbGySqRr8wDSLXEbrPZc5bWR0UpnscmA7ok0iCb1xZlshTR+mTj7ZY/wt
pT7BMMUbboR95vLz9TD8Af5jxywV4Z7wqcfxxYCiPIZJeDOzy6Jendyct4zfdBDLifvTPgDXuUqD
CjrTch2r8sWu2q0jzV0IX6pcygmLGTm2Jb03zLdpcdaUlljajZms8Yzc5HWxa7ruFEjFVNS6m2KQ
+T3kobpzrvix3HUWs61JeI9UQBZ3id8wCm6+x6Qdso2S6tT68kfsMGhxKQVZiVGKFaXqxW07FHqQ
hNeCfnRwTuFPyUnKtjPgZ+awXyrVH7yyWm44ZbZrrve8sYyKfQkYaXDNcNX0oDInozW/ZQqKgk0x
zQo5f7iCJPmKm7JHKiivPsaOg8TKeOVQdg5LAXPBHb7VQUOeR70HiR2ugqy4Yga47cahJcfg/aBk
8cmW+ZmZf8UTFB8Qbag3BI7rLsVDlbQ/K6ctV7gKEW563AVtfVZZdHYEIekxvRgWmJZmzpjwUKhB
L/EDdLf+Y6GDOxL969yoW2dmKCJb8rtGXx2oevw5x+hTlvttms2YUL3aVkz5RG/stUlvzdJrbaqA
mmKzPIQMA8zOQ4aoXe6lprDWecWZN/DI+9uVHijwxRT1TonhaHi5v4+9eNxy7h71BfhlKUBgJJS6
yQLYAKnsdAICyk1jXzphfK90v2eU8Z2qND0gB6CV+AzmM9FfDZbaMuBs3eCl24Kw7CiGcT4cl3rr
KgRX0kXvXQ8hJ0ydI/rjVzcG53kq38ZJvaBXfU/w9/Ip0O+LOdNfMQi9m6aFomjrOxDAK5gQBlF1
f0PEf0VAa9eb/U/8H2fs8a9NRwTeG6gzBy6zzpx6Rx0OkGRmCrUCZSYe4oFWUTdcR14Eu8eDjt/0
p3q0D4QO70zmm6A7ozWkoi1tfN+7Zbrl0T3kVnrrB+N+zpqj0of4QXEQFt4tyMVzPDVPVcD4hFtZ
XwbMKJAhXYyPuF9KWiRNXLqd01bbIHXejKEioK3g/uW5euis5hEHA4P9+jatDOoKeT7s/jaCR+LB
yTMMFLgK5bvJFe2WNbo94p2xoWESu6TKrD1R2ydp5KBLMXBmoVSHOrAgRhLU88pIUx7QoaIRlsfY
emcRFc9pbsaMnaMHD9DJSiqjZUoEXFEuCflRq/ggW0HYbXSzrRdGh8ziVpZjWV6FSlcC2NPOKxJn
r4Tiih6Dr/k/5J3ZbuTKoWW/iEaQjGCQrzlPUqbmkl4IVUniPM/8k/6j/qxePPbt9vWDAT92Nwwc
GLYPXEfKJCP2sLbtdR8xFa4N+2Hodylh2DLELGucUy6z02Abb3YlzVVtBc86gn9jt+a4njp2Z6wG
gG3fqCvN0fvArR/19FyE+uSIOIVa1F1KyybOaprDLpWcL6TsCvb9jN927XH3S+UDRetfgYwtCIAY
Ta4ok8Ngix3TEjbjPMkBls/NaBMML/+xQXTrQ7uiByiOLNIeJ+7cvjscHaN4d/pxWDlq3Gp/So6F
r26eAOnCpEQW2STERbYZRXoUon9kQvsizDd0xDpFxElcWKDkJyJhkygTtzYOeXPm/VERTFu1jl3s
Wi6epSt4FZTXin9ksFdH1hMXR97+tqXP+Wc+qLyAeTk2xziPzLXX5DDuXeNxFOG11OUpBsZkAZk+
Uix57CBglAjUkVe+YONRxjCLRfd45clNwi0icB0wZ2JEwz6dYAU6kGmS8Skc/N9tFYA76c99ME8r
q852snSPRBIOUxlWe10aQKqDjgqJyzsqFxfEkvm+52TgKfXg6fG5ic35sc5JqYeQoLhPTOVDC00c
Aqa3weq96ZbwVBDrnPdq965lcihF+EeQ7FjaqjuHDd3WgYoTtONmEM56oYlSvuZSBvgyGJMO9wvx
iHf5Pdswi01ReFtOicwPsUa8Jir2aTkof1lZF/Rmuru+C948H+q2z75JRq82kiNIhqp0V7XyWuZe
CHBpKtgiEVvotxtuVN+ptJ/7qDwbE4s38BPTlKGbKbxEUmOZqkvltYcxY6HDtT74wNNBVunrFLQ7
xxjuvcA8eICagozNqsljMq8bl762u5GiB6QT30fJ+NvpObS5fOpIR9BqTq5xFr8afMVsLvv0Zw4e
xxVHttsK84bX5Kb0xUFW3a3lleLiuBZii0F7m/PiITIYgPWZEBHQ59lcJXeG5sjOlg/j2vIlcaKU
axzgTwUBaQytkzdXh1BtfGe2927gfVMmujJJTnWxit/J0xMVKUG9ml62zTteUqnXvKVUtd2UH2Ve
ghUPZPTmTf6pSqenGt2qzLkeVNrcRxW/H6ZIT3Sarz1QFc9QxZ7y+SFw5vkMiXeDbLst6oKeYXC2
7WhX9emBj8tWpAbaixqeW47BSPOSFYWpTDa1itubrktz6wXZXncolhPnh10KGTXvs50NFbHroIXJ
MTh4Yfvs2JABeAr9kMp7hz1sbaKKuqQ3219pymW8b5md0vQujES7F04uMEMz69AlNSPsefEKEIpW
QMARiMsJsA9cNAAfBPqIfXI24I5EZ1A2d+UUV1+m4d7ZLUhhNYWMfXIg8UZ9X3cJG1F8a8JA3oZ2
mbYvr8RJPPjv8zWa1Hvgc65xZ5A6Fb0KFKUylhg/BaQpjhxrIMarhQ1Ac15FkJhYxdayLn4g62/Z
7Lr0S+ej8cIjUMpo///DZdxSkAb/3WX87bMhzDD9S63w73/X/45xW45psm8DcMPyrCUY/o/MoGYH
xaW+b9n8hdA41/7/uog73N5NRwELg8MrxLL5+V8Xcedvgi0Tl5szy+p//Vf/khH8t5lBGoT/khlU
gswifzKTP4NNOByh4J9v4vbE3FvM5Q5cEHACRcctImGxSzrdPJQWW1il1TFxHqS/ZgcYKELXSCR6
g3W8Yicpea0l3t4kFSTAjmQzzCuGXT4YKKAObxTlzZa0qKy2yq7TKM+gqcwtqhEYnCz8487TART6
B7OJ2zrIDWaEAhoQ9YXdL6b8Rns7OCU8roUwmujF5UzdT6g+4D+IBDW1vJ+97iGwSs4T9a73ko8+
zxYVOqfnMRywG66tVR7skSNGMPBky3cycz6HiIZElNJSooBxMjCr16Vrn9hc/iw8f1fDETkVQCg2
LTS5i4jyiy24p3eZc6iVeudhViL+OuccY49tJBTOmFXytqusrekEwTrMJvfJo/k4cvg4uL6yNmUL
z565uJc042ebld/NNBKcStDizPCpq9puU1vNtqvrw6i6C/GabeYCWzeyc2o1RH7SKwin7Jp00O8D
H75sZvig9qsp3BmimxjcTsShld1lKCMgDFP0pyoYhHDVUVj9ya6M9A4aLWHwLPno5vTNZYIZfN0H
6ZhVbwyvlZPfNQ6Ku22MK1r6hzorH9E34Tt1Wr3SMOOm1AdPTc95QzWFwcVjVE9hF7S3UCcjO2C8
Vsg2bAGtcB0as/w8TOPGSAxem658p532NU0JtUMK3zfij6y+ghQxL7UO7kj1gQaBkzUO6qd0HLa8
yW6NqTpYTnXAIrlOMedECvWv0DOHtd2On6pIj3Qdbl45UgTPv/uJacLS+GFPoN64ET3IKIZEEltT
tKmn7D7X8CLZo19DQXmaBnOfUYLhGJlffYj2Pm06UCbwAkuyMwwaMEpOWJ7LFJ5nUslbzqd5Vdbq
NVFqG1ntW97z2m+D6cXT7TfrWgzs2VBE4op9NjuCsTsRmOo0PdfK+KKdEK0aUvAwcFkiSsPiudXO
TRH3XOcVdfDev18I7i0cQU+lXw0p420bLAUKi72eIo8ZuytUsGknF7z7RFjVEPnJq/wz+zrtZpYL
ctTMH5CAI5p9koQjmoRTx096YqqAy8FVhPFOkxxcOdh6tMkUry544mkQLh2q4bEE69hExu8qb/h1
CoIPTj4yKp7/yWf5EXXhs67C+9IYb61dX3ud0GAE5ZXY5JhCOZySGfenMYOMfI/4YP/1xVhQ6DjI
5TrxCPUbbobbWfHa0RlK+ARhjZPcqR/9hzqmiS/Tr7IJX1Ti3ifknSJXilXJZgc3TRrJtmoe2Ntx
V3Y00dDn9F9YLdrfeOfPoMGVxiUx+mSNKHKIC6yWMehh4jlcnjq7v/TN8GfQpV55YfaH+jRf2Boa
ft0Ff5Jo/EgJVBkAd3BbwWe6un6yDHLQXcI+gnTerVzAhAvCV5GSneuts1LOxQP1keNHRlx9g+FV
JNW3H/F7TtXPkIO/DMrqV9NOL3lO1KCZEd4F9kUYJvdWanCYio2nIo9cdAf2GAyOZhsaiPEua9Jf
rs3D2MnKgYWg9JEDAWBDj2tRRRoWNS87t3nMsSmkyydK1kHcPZi6NzzBYesUbGQO8cRD0qw4Jy9/
EoeVV+zbYT0QBVqZpfFieHoV6uA3Xg4FRDPY0rigv1fhChcERBkMxN82YtZiwdaOitkFWcxfAnFn
lQn/NpVq64X1uxqqS+/3uyFNMcXz6epRzqAGqLbE05fpQaYlIbWuG+qjW7LhMd5D/EdX5lNTcKiM
LWM65AVno8zgWcjuDv3FtLrx6H8eo8+Cq+BGtzNuDQMrpBR4wWTDJ4EKeHHtMpxs9j92az2YIYC+
wYwOccZW5whImuc3DxO6pYWuwW7Ehb0NxnS/vDPKsjyMOWfpnsywDOMTCsFzPHfFqnbK01BhW86x
fhrL6vfs9L9Z/gLQVz3waILyE9yK3P49BDNtDPg9zohPNo/mL98Nl9UIHjVy+Cwru1sVotuLhKtR
blOU7I9tZn5EVvbcT9hCHC7XHs8edDRkjsH7DlLIzbX3J56HY1SNr8MsJM8d7FnVUHrWPY9tbb4M
TfWuY+ti+Mld5KJLBjbGNNTAohHf9Tzuq4KvVlDCR5rZgPRN7hs+jBGcaOIX4ntkwGGqPGpLLW0e
M3GhAlTzrzTjV165ep2m1YG00k5wTeSl8Zmr4g2C+R6q6SbLaVwKKyakWSHJTC1OM9O/yptPqUmq
T4fWvA4FGVOjeDAK9WdMHZIkAT9w/5laJkfsmrc6l68Vo94Xu6yijY8Jxu4zeh1RED8pPPYRbLCK
/bYM5hOkEcyolixvW4MI7Kr4UwMTiKV+9ebGeDTTFDSrVfEmAfbqLWeOHDJkJShEKrL5xJMkJck8
giswhUfqUeTdKA6vRDNeozp0ucVirtaj9SZ8piujQnBzjO5QlC/EA76Qmd5aiTXBNgOEsPHZ4+Wn
4fiEiq2YQF2cwHwaHew1ydzLUNJhMDfIb1ex6KSk7Nq9Eu590NeMWKLo9J26OiHxkS6f7tJa0p/3
uAJZOSKQ4N+VkF0ZikJ4sY0Krc9td8BDWXtQ/d2UdJ9dXqByZeo+MsjbJgiQIUMMnapO1N92YC8f
Y2122ySuZrIhNuZsWXNCacQOmNZ3UOFkaOqfOP5syzS2ePZbeY2g8fp29j10yS/CWAUVromYoDu/
KZWfchSroEx3PpvmK5/EG0GWH+xBXo9JTbgQWa6pqGqV0a5V8WMIGYIjxA+XyMeI6Ww1BHf9NF4s
ZV6dId3zXDmURXKkqrD1aX4lVn+Gbv/oyu5ttpKvqZWH0TXIEblsl0Tb3kO3CHwr25DmyGHbTPy4
BEUO91YLlhgq+C9soUCWKldpYV/m0nxKfbz4gX7FSE6KyHf5A4KbqNrYfKBmMj0bL39xw3NmgyEY
QCssCScEWkfiz9jRU5MZ+yjnn7c2irPRWKdyso89BGvmLsGjEdEpzfA3KZtHNxHZxdP4o5QMaWPM
xt52hm9r4CBVBQzxxDb2bOCDKJq8Z1mTM44TN4LGZNR7l3UxtGqnZGUX0BBXu2mFmn/FJa+5udKW
rlNBbK56c4B0hjXuzDz+pZm7cjtUlkdYg5/H4OnzaKX3YR48p23MTDGM/7KwAKPyIslyktKBlT2y
grhzvC7Z8Pwh4ZZTIWbs+TENzKPZkAisBr64PVhOlUKRnIdH0ICXvPfQKzzj1xBWTyAFHhjWJkvQ
ijdQJNmakuQG3Q+nZRjAdNmoVTL55cX4IKQesblwzQx7AB0n2SGKyQuaIpq3iEQMIVikVQyXm3cq
zZIw9/AwDfE9VsKmMkSy17QtGWvKoj0AP36XIdQs1pcBjHiMZTi9W220l2JddMAvJpi3Ex8NTQal
m13wo6GHDlaUd5bZficOo7+xTvctxgd5ix8t851o82f4xL9KV18RpJ4Mw9uDQbszZcIbVitxV4B8
INBczHtjGhDF+X/MRHw/FguswJ9ZGZp4iU8BU1PBjFbdwebOcfe7Er209QOEkEaTHpW0yb1AQ+VK
d64YE76snEuLSH7UFiF3S29S4eVbq0vzTbnYCKKNYzREsztYsMzGrDzOyhrWtL+u0g67NdCVP4bR
hxvLZPHOBVbnRXwhvbF47ATJnbryiy1j1LCgpLJZ+NDmSkBus3RDSHe0KZS3h3Kofrn9+ImvsjNV
ACh+RuRqiCY5w9HjdrEgrg4AAaJN0YZP0q+eTQrsayto35xccEJcTE/ZJU/2YF1qZtB9Yd4a4b5W
oy02GKDrupW4VkN6Rjw5xoEFOdmRX6qRcqsTVoIdoyYtbpYPiSF60FDDYXKsK5zEbDVkjrGXqvxt
tEPIO3X6wWN9UA0vLTKh87boYabI7mZVfb+BHX61HX/YZIsZxwLtyaOudUbceHfK4Fpo605G063D
tYQFb92n4CHfQbhnT7WTZvu+wCCrZhLZGsKNmVsTDdMQQGD0LHve2y6YPtc4DCWpBb5MkstjCTN7
1Zn9wekULZtY8Ibp83WTMtXGrsfGMVkvyij1VK37ImpSzlWyr9tx1wNbFbYXk25tGegZBbPOBovd
dfGZd+qdH+wLjvRDPXp/NHwpXzu7aSESjOY6jlAxiTIBDugZH0rbY8hZsDaQ5Thv/XhukLwasXxw
8DXWEveEovheRB+R6z5DUSHc7a1swte2WW3MMnguc5CR5fJOiKoBiIWYT5SPz8AFTnZaM5YuTlkY
Pbh2xEbdckiks9rO3VsW6n02WuGKjjtaUlS/RTNXMgeEZx2p5JQFhLIky6i8JUPy7glpw5BuOrqV
ezM0oaNoNkPaEpyYOwhbOQH6loYQNkFzq/ixMEpXHhJWZ7ZR4DFoF4EiTGrCLiwgsAWWWw7H2Lo8
sPK2LEEHR8LB4dr0orN2G9CTvSRJZLEm1NdBsXYL4d5EzgWC98k7a+M8edAEL6zDYVwbTbsdeW+E
Nhe+XE4H03CYSyILDwb5twtkeaWYwNrVEl2+DZe8X5dh1UreF32BF1NBMt47pkqPAfW9DWGvjGeG
dV/kw+84du2XpAjZjBHdTpOHzpLZX3NwBA+aLXa40fnE1r1ha8ro8p8rbv+vAr8krbx/3+f9rD//
5/8wnr777zr6F+rXP/7mf8hzFtQviyODULbJX9z/g8g1/2bznyHReSBvpa3/ifql/uY41ORwNyya
Bv+Sk1GushHtQJoq09TWf1Lpdf9q7P5zTkZ6tIa10sBR+NdfFIh/Vud0R4CMmRB88Tk6NDkHowRO
UTd+Vq57VGV3jgd1yIbye8jnuzQLL3zRPmTDiymxvEOXofi4vfcrayXDFuQoebCF2wqy/1Z3xktr
RBw/IwillrxnmZ6PJqpNNt05ZuFfLDd50xNpcSF26WD/2D6H7DHp9wMeYxE7R8Y4Lz7t/3xc7nxG
oNh2L8+JZ5wiWZ5S1eyZkSO2mGRPvp89aWZZLa+e1yUTQAw2ofvbkqvVeNAzCL1R5ls12BsR8dSY
rGBbD/OraqLPvnZfUjL+qzkjg2FM2bzzLNBAiBFZR1dwqChq+AQ3DoMq8n02BFS6NCfpppo3ce7v
fN0ey6nh8Ft3A9m4qt4mRSrOZJmJ58LPXJegtQmk6ofOI0k41gF9BGMAOkg4F9of+3OOOps2U3kE
4zjF04YIT6aF5xgRwBfRXaH1NoHwydhdRELG+nKWilFIkJBI5Z3LDy6b8WrignJL3/AgDqa3BYo+
mPM6SZzhIMYfhXmCH8LhlLvA59S5vEvA78e9+a5GcUe08y1Cd8sm+cs21L0Tniaz/1VEeGONcOQ6
87BL2xEaMAw7XO2WVTW71zszhPNmhSRPCi4HYLc+6bMRw9QzkRuTmcUyo+VkbxmmmLal2dHuSLlS
oZXVq7GeX6OOwmRftuukDD5MNkUTBc/KISpSBREndnMXLxCHqI+2npcRQ2X8wbd/snT4UBwNBrXM
UXQcMSgCcGFVBOtNIlTrmOWTcvDeRmatxQjpN52zb/A4NiGHeG+PAy6lr+/aileebvN6o7MEScu2
0msdhVuNZe4mAy3q7DHxJcPGxJzZGWDTxfuoB+swVhX9HSIBMEegS8/gIxtxLwZHYE+7wNYdrNYh
OEmFYIIa/ESvXO6gr95yz9zIdNlDmII3tJqPNsFDd9nKrNP5gW/OzvaQNh2ArXbZH3r4VpB8a24N
yNE0r6OL3w9QrPhIH81ZehdaDxOQ/uIuKbLTlLn5A01FKiINQxNigplqdGrceHW0lwWAn7w09wX3
/nVa2vOR/p9P4oLLPk11+voJPGLLBVVvq19MGf1J0pSjMTLfrvWiWzq4cJGGAfgd5KhDUFuPjizO
EY3lKVOUBqndzi0+/JSjldhu+ScsOrGFPXig1g693wkkqHZ64Knsf3cBd/54XgSzSzb2P0XRvPKV
D3bah7WU8eWHRkRozeJgXiAj0R5M9XZUFae/KP9kDnPDyLZDAz3I1oTjjsioZJa8Ach3Nt/wUZdi
G2nR2mwg5Dm62ScekVUeL+Tb8tesRmJPHQx6v7avEX/A7WzH28LD9OPbfClG21jpyrhQf9vnHgWP
vrd2Rj85u3opPhiVcXCq6BrmrQQFHR6D1D8EU/rIzfgx6TgudFXK6Dr3+2KhddmatrNjD1fofg3T
htPzPNTkSbq3lglTw+YjFWYcDmt6jeHMHklRqXPEUBDsuX2KHkgv5TI02csw9PyZJxszQB3ypDxX
hrGH7vc99O57EBb7VrT9meIJzFWXyF2YTlvyamefxYvBsN7CDBk/bfSa0ZN3WY7JeQ7QwYrOPRlz
Zh1r8pCYopqB9I5t+cSj2uPR+00jzZk6wjQRVnpJLF+vxTBpmnL+WxE0PtkmlAXo1SCB3V6vOIff
tC6f7UClUB1aexMVhInqSelLKf2LkVsNzSu5I7jnbpxU/y5M1vBMgzRgzKTeFvn4YU70JSoIF3Fo
iw6OFyMd93N1VIGyn8aAosXcISVS6kZL98VjmPFaIAFfbljHeqHX/yqK8idWzsGwvGu9jPmQVwMG
Ud5cJMOmKV/1UuJEr+9qbw+54cQYOlU4F8/XKfPPNBfQoVGkAfzwKCX9I619n/ZqJQRdZhvSCn0b
mmWFaPgpcgrPNw1zGHdGU/GgCu3tNNSPZhCcpjS8+orkMrdZ9tGpW9153thtEKA0b6/qkqTJ2Znz
jzwAUT+PP1ODC94TplCJeawsysZdRDdkkP3VGvlgR3oqN7NVcaOD1E/OoN20Su2ACO8HzznV43yZ
09w7eBlSymC6+V0/dN8ciO9G2ZEq16PHc8IxVm0XxARUE4+0OlJxzerVvjKr7DRmE/jOKYm7leq8
gy66Z5265zCKX1XQALPL3kn+1WdPVG9exMN4CMNxO8nhpSLrB7oyfDSF/ihEkh0K8KMrt1YuaY2M
anTkKBaYSu4pdhm+sYe0U1aIfx1UP0PCAdoWdI1YCHxG1z9PyfzsiJCagBjF2rQwe/hJ8YSzSN+Z
Bly2heq8GqCWcQdo7YOIUCLbqL82dF/2CWWG3VAYzrMUVKjMxj4aLBYHPpfVzLjmlbl1Gn3wwCHS
rDoW9uKk+fyDEIiorLVhmOUp6htuIoRFXPMuS+AA6/w7C7r9pOTOkv3Wl0gS7fTcp/bKhhW46dvg
TRYJl+qR99LMrX2jU2YomL8Sa7a2l6qBWe2FmSRb3JZxaSEeoB1UtA7GIvyj+3InnP5bGS5KJCsG
g3hpAvMyRQ6BTUB6qqEiEZ79sEo3jEf1h7pMFPjtHmOvZR1YFi8UB5aLqbEsKw4xvLokeAsWmina
z8aImPmdQQnSSfMMY1tiPdFqtO/tQJSHrhT6rrJNRkKzp5w2IXNfrxbtK4qn/q+BWZANWaVt6kAk
QPPMmHJda4oZm3ZZbapJOAEytoZdV4hDPRvoBJzjVs1iRTT+uWU8dNWGtIJGnrA+M/cVe79+3i9t
t3RT1uUmD4Dqc41B1AECH2s2YTt+XJN1tYrOu5Hz6nZ5k/FJQQ+jrBTbO2biOS4y644+wQcTxiB+
sBiokGg250bAGLIW1zS0+GgUID4cOuz0U9/NRPASZVvM4Sa8Z1eqWlVTcQoNnvOgxr6a5d7HE7N1
w3sGzva8GlDN6LKyLxNsaju1TqFoX0IXOSv76VtEurpl6CkZfmae/2MhCVoxx2SLbVupq5vPm7G1
XlrqCzSAIZIZD3mEt9d3/GK8J+UIxq3GI7yoO4bhjtFoAmSpkebsxn60+IohvbmcDouPIGvvfIyB
WxP7pyS3g41h9sbWmbCoVnQ5keISd8CHLJsHGv7NyexEBji6Q6e3Ou8qiBy7eYucYMidjPpbO9ft
SQE04Vt/mCRcSTa841cuLMHdMCDIpYVD1MTNbwzOHkyfjJpDYGwK+gtZ1KdIVbfSyi5TYByqaex3
WNr7keSOGbH0VVS436zMJFhiFuLHHGSwAJUAt2PCrZZ3flRTH/MpYg4cWhxqM1kfftrQN9OAJaG2
s14Sa+pJxOs/kyqJSs3thzWn3aaa9O/OZGxNVVgY08lP5yt+6J4g/ANnR6i30liXBbmgpkzvOq86
1n12Lb0J8cv5aTPvODKCnmczOzfWk8VeGTGbsD5T0J8PI4fMky6RXf0lIO5FmXPzClducEg55Xoe
yhgCHheGxsyolTXji4tqcANVVm18YZBdBL5mEunzqo1UcbmPo0gemfCBlYqMfJKNrX8z9tfsequk
lxiH3g1n7Q9bu9PR9Uf1K/WN+M5w8/shl5okEqlKFHh7T6s15tjle9DVx2V2m3AQ9SSq5rRUaeYB
emEy3OzfXC8BN+FiWU1e+VVN7WtUxt6KMx2sNqsoP+TMrE5PuBec3KpwiKeP4XxUbfsmI9JEc61y
OOTYH1VzcCYaEhLNUw/YINzJXowMxmXjOY/cAk5Z+0cXn5P50kWVPPQTCQ5P/fznKsT/hSUcV3r/
toSz+qz/hJ/df8/9oBIsf9c/hAX9NyXotngm6HCmdv5JWKCaoy38HEcpze3e9P459+NaLgxyRnHc
v0PD/zn3Yy7/sdA2FEfp/EcFnL8LB/9dWPAsy8QuNyV1N/7o/z32UxAUbklNGutqRNlCfCh2Bkhe
2XZfhu1g5vjeK+oHEZmoctaGcr850D2olreckQYbpcJT6wLBELa+z6yUng5b1BF9ZDuluaDDMthG
xfwamm6zbdVwnBcs2ZwUR0e0r100u1T0dbrmJHatoM+YIU/SRHtPKRQyetkexQKmWtnqKH7DAF/K
K0QnpPWbOD+wpxEJ0ktf2sJ9mHkttZRWeU/JoyAZv/ON6NEJ3WDt5wxp1IY6jJahV6pQuxxvaR+6
fsh1LV/2JfWPSkhuxP7wwsBqsW7QCriiJg+mIpAbTnqf1DazpnO3lykeNIgagILynR3tpTFPcGKm
GqvCEkm66L4c1OB8AIJt++rLgNrEvmBXnzHTbc4oJF54Cf9Oi65aiSh6tNqcCo5Sb3MOaMTPq1dF
fXfd9sVbrrmmAddoWBkZb7SYX6feefQKveldBjzq4WyWtJncmWSoJn7Pz3HlcXwyq34nWrBAhWD2
QZGi4uh014W+ec0y4rdB5aen1ncPM7MN/WxsGZv4NbGiynCnMA6iIRNu6mFbyQFGgwMdN5m/03w4
tmncM4bRmbwGOmBElv/iD2RsTAi+SpQfExutm9oJzn4u96mR/9Do/wnnilJA8aZ10a+YpZh3cyR3
ccM0BKljEMrTwqrz6xrml/VHtubeiPrwPh/G6cQHZtNMUfXbisNNOypGzi2LbIRBZpqtp4Joy6p0
fwp73qPN/qos66txmBE3tHqxuBZYgdoHhfgqYGKQa82f2oTjSsFFntrVkh9Q5NIae+YPyG+JmAgz
cF9VhMjNceaMJPc1i+CaDCBKyGLAmlFYLCKAVVzNuHF2cpVKWiDeOPJ0Q/s1uAnyVsBAN5Dwet2I
vtkFWXeqp9ABMTc8lHDMjEnza7XabyOGNWzP79PAQ7uJ50M0UgEPuVkfoB7t5aI5izThYY0MnbOm
crYQpmsyXtGiVLeGvHCRbrf2SK9HpvcFcQ8XfdtchG5vkbyHRfyuFhlcL4K4u0jj45CgayOW45Mc
IXBD3Ajn8sDHEJrTIq7zEc/xDvjDxYv0jozDr2Z28GzR5W3V3bpFqMfYJkSCdh+h4ceLmB+4i6yP
vh8tQj/KnwnYBhlPLTaA7yP7NIs1oPEI4sUsyHENisU+yP8yEnAUSmN4y/nhF4vV4C2eA96DteBe
glPMrlW72BJhc1aLT+HI8VgtzoXXcFe1MDMAmm8k5kZVchPC7IgxPdzhg6rcXmbjXi+eSJDIB39x
SRKtf5rFN2kpMmmMFAXZHpwpounisRS1tYaYxxygu3MxYfo8+FJ2gT1pvWBAvneYNXRdqQEt/g24
2y+ylSAI5XSxc2agsXqY7eVs6b4sjFu9eEEleXIeOaSP7Gw9Ln6R7nhWWGV3qBYvSTJp1i9OrRse
gVEcGs5dajGfMKF6C+HRxZqqF4+K21O8aRbfKqHkvpSni/fAsO6zvp9XxBwgmAJ1wPZyZf3uLz6Y
jyFmOWkEnj8hA49ZxmIKg0P2cMux0VIzRP5ZnLUCi40wz0/Q4bkpzLdxceHmxY+bMebY/jyki1PX
Ytnpxbtz/3LxFj+vHfUX21qcZhMqBVh+zeL9uay11Ysb2GILggK42al9kGiCCtvQHCXw9l7yZIYH
qDTnGUbingvfh1ehZo3Zn9zMkDxzTW5rZf6lGQz+XanDhD5b+aRrczP0JAC4h4Q7CuuXlJOn0VGC
Hgfxi/8ZoxZZvzwYGx9ntXD2fSgPwoxxcoh9JDMLTYEHlzZne5Izvjr68ItBOz0TO93bdXz2Ms/f
AyKa0CCSD9+1bx1p+6ZU9+YyCmwmb3nCtTbt2ktXQw3h6coB2uBDFLYDdNtxWosc3hGVxFrygzGd
i8DdBYZWvmUcwsHmHxuPm0Dqvtv607jl7qXiqcu7dp3E6UtvybeWwlRlLRH4oP1tu7yfYE5ZK4oS
a1KlPvqh/aDt5tQnoIjoexc8VlGaEUtXXInBV3Y9OEc72zY8+pdpmUMRqGtZuyT8vQfXjO6k0u9l
9yvvTG7jqaVXfBmfc5WcQz9E4KsLPNnkmYDp1XPr/dwTZCuaBFhI8SGyLHsoe9z+2or5CorgPHr5
u5u0uPIDz/OieKXUQ1mAKWBptT9IU4ztZo1zGDpk2aQ3mEYWu8Ts5cYTFMXaTvxyouZEI+/SuGyP
p+5CRKyJ1bnjs9P45bZpvXe/qFlxKqtbGkfmvmu5kTTS20oCLXaQpQ8TAtEqLu1bG+aPPE4jGJOR
ejAHA6TccGoTgTPnvivm0Ig7v1GkAINsGB+avjFClc1gRPAYjwZIszJ5T2Ke26Qxx0fVqIJXVvUn
t7tvn1baRTj+jVAjbSZuKsx0c4mw8ie/qrl8EAqZYE1JJlEk35Cqcr6c/8XeeSy5jmTZ9ouQBuGA
A1OSoA4GQ4sJLCSkQ+uv74USXdn1rNss36yfvUFVDvLeDEHScXyfvdduUFwZ0OE2p9yCkRX6SiFG
lFV30rMJ5JBV7qYpyv0SJIfIjGTLq/9WQtXBo3byGh5DpV48R4X9MbPr3ZtpjcvWeA8i882Ku90Q
jYRyrHk/hDzUbA/uO33O8zrUcoA6UbbzNBNuNBygVbBEHHj/8Ec9FiPG8BIPcMoyzmqwGoBMs3TW
/bAkn9yXwp+ixh8ljEIPsp9PdzFwzoIG8FKjY69p68uUilvXIylEPT0SSjQQk550+t6kjyhOj5g0
f1g5vBZt5m1QikAqJMZ7N4Lkd+39NIXeCaGZAxCdf+rDJ9VCOWw67bFkWiNd496o3rKOVUQiwsl+
wyp8HQbWy4N0LuSg9aOBoznUnC+rnhUA7so5tk3+OYdsjF0eXgSIdWr8eCJmLzgkf10rcPykxwqp
6dVwSHmGryxlnWvKJn0e3sGaXpjraNo4F4LpEAD7wtDS36bauI1SzzvFIpLryYTQ6KnqB9oKrsjG
IjcTPdWV/GxsHr+pwZ5d6zOyjVpyDLpgeRhWyB7Ev2ggv6nM9LEau0+yxjzupeOsTJfbJfPGum3t
YsOtIHupKBkGmchcN1nozXhzsaYz7GgBmStNUrFYyVfEuDOnCq0X2lJTWGYkwz1p7Kae2WzMvYOF
yEWUmoeIkPdJi7sCCtq2LXtjRdbp1FDERmnYyMAhXwYvY5hPooOBoYaMkn7Pj0DPc1wcOFlfTH6N
WeTt02S+bUqOVLelNyNUN2Uz/cyD2FsaH+Z0sgIe3bgcyvlAVPrdnpf48fjayeATOPdWVlxca24M
mBuDkyhjECZoMVZk3HetU/LMDLYDu5bYM35AhT81CaqcoR5dqffvIiU2BEoRmXHMDtMQ1nc1uE8S
x7wgoUkitBracDO18301DIexDL6zBh2jbIyT0bsbE7vwCsw6Fq2YlaY5FEckPPNc5xzgltHInUGQ
L60qTltB5ikmwGS3pJJE22+sqxiReiiCn2nmBpvcKOtZUFaO08h+Clvr2Qzl3hQNGJ6mo+BxMCO/
btj50TEJ5FThgqy6WxVx86f5S21U8GhX+8K4Sbije/ozJ94QYy42V7qcX7JIbtM+bYDYTPhU2BhM
Vdv43RDuxRwbvgiru4w32GHkThP1HeMsO55uTr+bhnM7KZ+clswiMcDD6E5vNRsFVhDmvdF8eHXB
atSpmSA9nLhCYhzPc5a10gB8kigOS/y8wI+JvY9LiPxcut6F+0e6VAE/epnECVa4t/jgsDkOhq+l
9k5hidJhL/d6P3LETF964H2FC+g0bUttm4JxxC88vkITfVeihjQN6g/Q1S6YYQvDzv9wjXmvhaAf
69I5GGnJx7jeMbU/U6mDlBXJBwsZENjBjT0XT2pkDTXYbOb4aMVUm6KCiBdw3vtaJxrCHaCY9W8i
edvGQn8LDeu9KPFfx+pKLyYlxfY2FPO5JlltYiPFDE1rC//Rc9VWZ4ew47mk5Hqfu7ipk97dJoZ7
ayjoe8RRsKNIorchJm2y4AW5BZz0QWr9ygDyzpQj8hlGwGnm0c0dPIPwOidedM1iF/U6j++Tnutp
pqmPGq3GCXR4/iVLSsykvk5VS6P6x9jJ3xXdUivPrDVir3jUkanv3TLyUyP8wsLg+ERdrI0a+F0S
rGWF0zvGmjHN2nrxcj6n7qsj8ulcDaxI5oBOOtprRRU/NRDvePUFO9DlhzPg0oXGtlTeVQJuA22w
kQWx/rq6Tk68aJ/DXWspsW65s6WDOW24/pg7k+L2BQd9j2kctnAf3CF05OvRxMKcuKPalsMEjla3
PyMBrKkZ0Tb5RK2wWTzbVB2sbLeYt39dffp/1gNjOM7/6IHZFFnybwLV3//KPwQqYPYLAoa6Ek+4
SEr4W/4TZu8KQ9BhgulFuChS/xKoxB/SBFnPU8iyAeAv2tU/g2kU3nmL4IW2tbDndeuvOF+Et+TO
/iRQkW8h3qHzP75pIGji3wrvYmDWRMP0GYWlkjszDrZgIYY7dgAm0Q7D+y29eB27bO4qUVFSP7RH
J/OMGxHSJ+xaqt4WnUmFrichzxItubMyetBqnbKvQM7TS6UInRFbbkD9efmdPnGk1j3WnnUUkWiL
2/mrKKLyNCv7KciD7sTHlZ6cMa526fIlyonGjObHbVvHRzc98WDGea5ZdyJw1nOuI8hYOh5iL+jb
dz3IScAm5DNwTBYLO5o1T29Dw6qJqh6aTpl+3LJEmbMABkD0NdgW2xH4SMqqaGhPPvGi+jrN8ZpR
4IxRdMAWnoVBpWimteZ2tEQs0YQxry5eVxmHNKJ7RFs4245g3t1lnGRTq/1UmZVjcy8uTU2+QC+c
57CvrLMOv+lJVcWNEcSEx6XzM9kpDbkQxyhoYuHQBMO9LvoHLzM2Xal2TQezpR25WyXzrvwbNTuA
cY+9j3ILtLglgReqiy27Lf3Q3pUAPCekwck6GfptIyYqYmqnePVkRMQocebDlHLOwk/f6VmCjmVw
8I/lBF1W54eOHZJTFWx3nNoCuRtTzb7s9ZMZkxphM5IuMXKqRgOthxkZf1K7QcUAY3VZt+l2btoD
Hop9w7Q7M1bxGH0ddOVPsgfvwdKcLafatFpifjO0wDYZnEdo9NCzTP0UK3wgss8bZBqM+QYWSeAP
G2sKPzFPsiUhUNNh9cSFMNVHpuOtbhQvvaiezCB/JlN1oO7szlRqB4kRNDSZ3FUU4zG25rHb6vay
OAFaOVbeL7EqgVGnf7WT4Qn0BaMSL6cWvwQVkxd9BDQ2t/Zrbzr2gbfBb+LV5XoI8B1XGVWIhgzc
TWbOb4mS77ObIWQ67n7qGSutFpARcAO35p40M2/dRm2mw+o3dmnQn3Ho7wwCMXU/HCwemYnlnmvs
w2XW3Uh+ktCkc7wpLtUwQeDPOzJrpnt1l6mnLlnDEdcUK4UleavctHslmejs+xztoAm+GgQjDRg2
0WN5C13I4inNynIyFsLQFQEh4PoNhTWx9AMF34gLOVFUMtKNFh3nor6ZzJTYKNqtALKxvJXD71rW
2gYr+q3nQIHMouqljEgD8XCBHGdd4iJ95SOLXQMTQeqMil+SZ+8TLb3rm+bgjsyh0jsnMfXnEI1Z
8mwd1i5zRsCqBgvt28Dy9cLYW8MPL8m5Muqc7mkei9s5PFupYW6MBrR5vDcWO5tDm8Rkz+NB1pQJ
mXb9USKwUPaXQnFMwuPA/WC56OprWW7Iby4NvuOzG+LDXXKec+UVuwYehGlwi4QkfXQ6S/JSUVSe
KblWbRz4VYzbpiVTGaBSdTQqFIN2hezRbKlXuGDcYQZG6bBHEDGFLXMChSQrG/PVkR+NxP7Rt+7J
bIvjFMMy6PXgmCTJlR6y5zhtbku1ZHTxGzVIOCRnbCg0vD/wSXTZNuFUxQcQfpIBvq3i8EZvcY7l
kp+DmHvhW+C0CAGan0OXp3464iSjlxy6hyI5aRn2K+raXRwJtYlSddO29bQTOlUflWXfV1xTmdj5
ls2bSp8BIbXGJ9rqijuZy81npK8gHWMfpAP9QKkxrTtUUeRGnbOS8xxvO/9d9sEftaO07yhzDdLC
ICJzx5rWcEy+xiHhg47LSKbgfKdE7cGd6OtEF/ukL9nmLgci5X/PXohhWCugNch3MWibtmTbiXBw
VZKA6aw5XEsriOoG7atjEHKpz52OGScPTpo+t6dkDKtNJQB9CKO0dyCuaWFPQm0nLe/FTlyPprf2
fbJr2L7aIWnkIS+S3VxSfpzJbURUzfdsSCxTC/dxaLJ3jCXqbUw8h8QiqTw7Hvubcoy+2a18Fslc
f9IC5/KtgI/KWOedeaI2a8OIjYNtQj93imp6xdtoXmdOV6/2DCw3vERbKgvAAwQtzkEX5jLHQrCb
we58OHMVPQFKgBMelBQZosjRokFbCfXTsOo7Ft3cXDHYWU3DyerVAISiKB8YRyW468AqOFv+5vFx
8gRoSZbY38Vkexs2y/NbD32mL63iUBVx5ztWl53GpRclgmV5r8sq3Q55R54EsA2F1HVLSEUFVvAZ
lUBuXD1OVyMVDr4YQb7WOXcPSlzw9zRZxMdscOPwOZax+VD1YekLRVpzbAZti4nfuKXXs3K5D40x
t0WOJlZHZEUAkGCO9Qa8ZRgn2QB7DRfGOiMCgwakuBJkRCuJDwZnW4Woz2UpMpbbhbOp49rbi06L
b/vGKH6cKH+mQmDgdz6Ko+2Nxgu+LhiSpVuwQDMm9as7Zr8LS2e6BvgIeNnqgmoFnXVxvzFYET3+
/8H3n2VOdM2J/xHK4MdUOXFZStv/Ov7+4y/+Y/xlXGW0BMpPqzPoJf1fgETzD8vC7ujRy2QSexBM
2f/iMlg2f5qbi2nS6GQxlP5z/LX/MNnZCrgNwrYhNhh/ZfxlyP6v46+Oe1zgFJWMwSb/XH7iPxu/
QQEatiWxUZHNeq2x1llwlo14eOmHtvNLUusN6aYyhqqUmrDHc8fmo11OJoLj5Kw9SZ1LZk3g9rsl
6MtVLxLyFd/WLpBQgPtsekosERxtM9GonTBIPaTydnaaLV/kYA/tQVYQROLY1fzJwpxbAs7H39oC
XjNJMVpk7MCxvVamhuuse3b0klIJF/0gIFmOHTW47UxH+aXqzxZK8UoEkqogOd5pMFYxOrFyhFMl
9yN2wZWVNS/KRHeoJYOWEECRyrlIIDlAtcdlWNyjSkQ4huMC5xzNdEDWpmMuvV9yrNkKsxRmSNMd
WUXqBFwnb28oYOIs4Z+T5RGbNF+TJ88jH2zs4stOh3qhnWrQ0WmXMvb5zDIpsebBd4NvhYh+xODF
I6wr41UV4uIWfLJXjjSmc+kM3YG6TGOlctygBFibDVnVuzoXKSgg7N+dzOJN64yhT4nFpiugeQ3m
nZeZFxr0MCO5Xz3IR0qQe1zGw/wVB+5nVYXhoa/RKZf1XuaCV+97dkcmvX9dm5Lesyk/oBVioqHA
rRWO2oipozCGTdBjxcz66OxM2aVuKnvl5IW9ouEJNmX9ltbdfSfan7kelvJt1gMxHbNOW7m7hmai
TjBm0v96iaO/YV775x5y8UJzAN2IaQXnSwXYHxLeTukpxnpnzPdp6XW3CJAvql7cb7Q3wgTCMQkA
N81mm2pDhsdZOSzwIPQziZJTj7FTDQMWnDIxVgwPR0+FH+kAyazlC5gjgAudzF3i/oqoCrn38Er3
zm+YUT429y4ndYlx1/1GEeedl7Gucrox3tFKHV1aFIh1njrV2hyaMzt+Iv9B5Z1opsFHkIX9tks0
nhVzSgqiwxDuBSB76hmroyTkWCAI5T2ok8kZSQ2ILtqnLbJFNxq+ahBVpGxPcqL4fGFAaFMtN1xs
4jV8i7tqwDRHZO43DCASKKG/jxicuKphH5i8/m401d6zBm3tDMmZZAO0B/MwBPzbMnLpqImvoycu
FQ1OxTR9VGm2D+b+YlYYvmyo+8gsQkVrEfGadXl4LDH7cuEFDYA5NVW7jDa3WLoHhWU4NtjHhxQa
D5V5Krt516EH20Pmh716HwNxT//AZioYXkW977r3SEuPjTaN6zGw72q4YuXkOYfW44ISwhoHIpLY
d3Zpw0DrNB85aWUP/Zu0+i/Dxe3IEoMAP8Z1vAziqmt2u5m0iWkjufXG8FCU1s4kodwMOEDrsL/T
TcPaTcvaf7Cq6VCrEI+4KL/amtMhb+2DqNUDzNinUgsf2IM+9HJe91DoN7rrPFJPBJ2C+FfWZesx
pQnBjAKqb42Pdmx2PHhR0ZS18czyTUTuzWwahKiNuNow8b/HlcFSx3J8gex6gdTDzCK5oOcWxUTj
ODK1qjuljJMIXT71oronIrOA57Ojisc3adu0+5hR6rs2xR9tRlcMRQNX5Vpslqf3Jhi/U6uymRu8
XakUkDFel5VbtB/CG66KUjFrHH9Siksqb7gvi0hH4y8+UmPmm0zz16WjW9UyYHCWlypy4V4Z7ROj
x+B3JUscVfeHQdg3nlvd0T+J8WHU38C5vDF3veCMAcIuCNNGwakIGmOj5hmNmKmypvmUKpK7oUW0
sPkNF+1jBFRFde5mJCO5oMLWQieeo6VPiz8vssH9EZJILHJyymD+cfIKI0jsXq18dDaGsjcGY59I
wrtoti8ghQqfnFS7pj2FoDaCDQAU7A8y1xahcV6bzviZBEG3SXtY6yBEn7FpXlOhkyKiWkKT2BoI
PQMprf2obB7mdNoYo0IXD27rEqtAW1mo3OLktMGytZreWhhvG6emlcGwI3moGvhWVIX/uvYiis/4
DrWMq1NT96DvsCjjXzpTpUzCYdjAOdov92qkpZ2eDNa2dRO0ZIuAa29lrT9jBGHcTjzfssqfoAZ7
Sb0E2+qGPUFWnOCj6esAv+W60oGCCbC3Mfecja6l3mYGmqaP2q9yWCuYefMlehX62kWLHKoFW+to
L2XUDH7XsRrsY2GZ3CGC8qCipdnLWxb0g33qyzEh3b2UwCueRfgngYtx+JZyYyykpYaNlV2u2QfG
55gdMQ+//hmYMOhXA6ZxMrdv5TTtZd4fEw+fywywB0vH8IEPhp4+L6hWHXZMCDX7MZ2/q6bHvp4M
D56aP5PROvDI+Q6i4ZqY2UuQWAfgCLcFcIm4My5AIP3Soqq2jJ5EwgxOfcA26awAc1Tzg1r+5HZ8
v0VDYBPWsRFQ+jc334k3g0pz7Fc9ki+K+GTrALHLx+ojobTag6hmV6WJ2xqiPwG0fspf7cG6tIX+
QTTl2UndYq/ScVeOowaaI7mFIHvJR/0ax8GPXhT3FS7PFdjnL37Lt7Fwf2yUm/VQJNt+RBJJ5p9B
a69dpSFpCNHz80Jqb4N3a4pQ/3lsFGnrD7bY1Z1zmQlPzBMJIBtjpj2AyWX7S1kOUft+JmkTjVXq
x5raGRJitVlTrse0eAoD96dlnUm3HpJU4h5SETya8fhUBv26lfZrquK70Os3s8goPg/eSrNM1sHo
AmHwIt9uyachiGos34tvhjZzJQb7pUIWgppSbbxuQiHo8itbfsK2E9ZqkJaacM5OL3dWRE5/6qrP
KotOUqkbPFKg5fRq8ruqerJbyJLssoHumPa6G8WrHEE4BiELRc3T8eGLVT6XP4lnH6OqDQ4GtM7N
zN3G73uXAh2kVpMagzKLQA1S4Abl54PGezYu+RSfWrvamS3EwypSv+ZYwrWgvqYdKQmMB+qppnq6
jJm4Rrx2q1ZiA+6GLyxI68iedt4gPmYDcoWYbgZpvfdT+QgUx9frbtg0USZv7BSzRk6ffYrham05
zWNkt6wYPBIyMz0OfhCrOysJ/HGgj5jKzbDgGCOz/xLayVlU7jGyu1+N/ONmqAzMITOf39EsKUXK
Y+TJ6lIm2X0fhexGqXKBA5ETJ+dXEtk1eIkxOUu2g2jo+OgU3Q88lqymeghQi8aqy9cgGiGAZfVW
DWQuq+TBM3tYNvmcX7AzQ4C2kIhotOnMocIz4jFPa+D99fmsgw3hcnq1I7ahBWPmVJo7cCf2fVCU
ez4k9ima0ju7wuEuBdwIr+EVLQzJAZg0+zhMb3XCBRRUZUTDq/LoReyyqd6bqVugQiGdwJQkoKil
IR/DFBtSSsW0S7HHoC/pIIpTcTwxwC/JoU5jgJ2WNJEkVlQt+SJ2cSa0Tuc4Ldkja0khGSNekdxd
s7vh3GDqoGJqS5nMycMIYCxJJmfJNI02YA8tLHYEwd8yYk80c+Akqk4hcSiPWJQYCSEMevHkEpiy
YwjkBKgiglTCsE4G9VSgz22+ClmrwGLObohfhV3zApTpE6n3se7HZmsT1ErQL9Y0m+AljSwAWkuc
a8l1obXf42S7DzEougS/siARJ5soGE2S+35k0zZXNiGzJS+W2DERh3rnECSjP0FjHdad8yVjRjjd
r9Rc8hy2b9Mlh5YtiTTNzJ/tJaOWjqRXl9RateTXAL+xe1gybX0+Xvsl5aaw6a2hmBxIKDB2l7bD
Kyk2/ZB+GL3iTdFqjj/QA8HRDMsli4juUi6zOG6BoC5JO4BUzxnRO9VN53j+apdEXko0TxvJ6HVL
Wq+p3HLFzWcPVVT3cQ98gTei6FCKBpjYtODgMA24MC6z/CRy/T5bkoEzFiXWtaQFRZJ+lXn64mi4
rpI2+qV2RVEP2r4lrnMoCphpA/dRn4ADdr+pZMiUT41sNGq5UIusxa4xWuIpMa1vB4cXVSHIM7XW
7N0xhz8zsX4c2sHzI9aOwQhJ3Mu3MB+IHxY91oqQTDx4OK6IyVcX98w7fZUftJorrKmKTSWZyXLg
LyorNpA3WBUz8jQKyq+V0imvJmjTnQj8WI7tVq/HZBtK85GyU2q/OMkO4aA9zGEKqCEQxrolrbbB
fNOd/rrm8r/Q6m47Dt7v/75vgn6Z/8Po/ve/859Gd0ojJI8mRBNyYuJfQgqoSpaBlusIKcg7/xlw
af9BJzbESQcYpED8Yvn4TyGFFSMii/R0loi2QdX2XxFS2GP+m5BiL/cK19L5RgjRmzobyz8LKY09
R05TxaQ6Z1udnaEUlylif0cWOrixeUv5FfxHD0nb7dg2zoHFg8yrzNlXIXh2gNncI8Jno0vhtTM6
dkbwrc9mdkMWSCabCSFnTQxjVQvrWVrjytTyayiadB3F+tfADi2dipbrEZ/YzqrUo+ZF4W/euJSo
TjRMC2paSG1wvFY18djWcl5UJzTQ/hDx515XQNFqEm4BnpqHqpIBk+T0VpFeV5pbXah/MbfeMN1T
X/1WNXzDdq/7fCAf6ezTATZ539w0yMLYW9eNby1L/5bZ/AY8P/XtQqYVj4SQIr4IyOdKcX2Zu/LF
AeZOuJ/IOwfQF9XL2SoqvJOes+DRTf1WAogltb4YzNUhg4oeTy6+gMLR7nPaMs5jEKVHgL1nNTOv
NXq5M7Fuj0n+UWTpgx5bqmKMHMqcuasnTQgCk3bpsociYOHLPZbGjDPYlA8zp2XUCaLMPQWksaiM
PViOBFV3Mje554Q70QRPbRiwKTPmGfITqyUkk/Kupndh8cpFxGO4sjE1X8x6evGAQJIEg5viVjzf
Op1yMpZP5Vo3Mgt1CnkoGnArGy0IH3Lh5JBw2GkU3JmWKs9tJVj4pVW5BhLMfjZSnW/qnFz97JCk
6iZfk8E19KIt18KCWiI2qNjxNrkW3xgULbA16c96XXasiuzkGmFiuQE1LHdj0wyPQpXNRicvcvRC
vbyaZuuQiwAOb2keNXCNDoNeL535ksPuJNeurWfeZqHO6GcSZcQxFj9kRV0eme2NW91kEpeclqmq
kOEEGpIW+MLE9pfo/Qs3/BMM0gdDGbz61HIi6MGXmr3PoDCwmWX2cCv0KeRv9pfGNo3PlnghhWBB
v4n0IdgqIksAqErA5jSubtNcOtjSnXSTjyrgcUDukcYH4KIqvJ/L7uIkw6vNs0MLIOabkRxvCs38
6IaOcuGEvHACdYqH0NnKtFd36H4pGNP9CtJV5TbuXkl2V2wUqIhk+TqmS3O38lKD2RyC+2wQWlSw
Km57e3iYKwp0k4oUn6Trqm8UIg1qTkRbLb16pNEMBCFz5Eo8Mae16XSwuRVgFpWS/qbqPgiLlzHR
3hqJtRFVg86VxwmDT2pPlxpRMunDfS3BSmoiQkxIXso0a9d11u9EGb56bvmhKnDtc6Yu3kw3QRd1
75OY7jrybAReZEmo2rvN+U4sbG1blXMfcCbYZEXs41pl1C7JOJoG0LCMkS1hqG3nZ23WHs1IIzkZ
kKSn8difkuZOo+mD5Vyy6VLu6SqgXm6wDgs/wbTmrWmKtRF0n0St4WdqvFEGaa/5qXnHlD3KIYNi
UMEpFOFEdDQXn4hiuzblnpTO5nYyyttMTFg9LWIBYMOIGU4nVbYf9dA/6kO4TdLqSchC4BCq+30r
EGsKkXGR0QpaGor54uUNbgi7+EGgDCm94QOttZiXEi1Z5YZOyjhxH4jxJTzp1aeRLX9Iz9g2j/iw
2MhgV68vGnJucwCjFYn2iKpMxkbHO4xxAcYCRoEb0QAqN4yBpQ1hvW1jejdR5XJWKHdtFBPrI2BZ
mqZ/uEp8kNtkNTgsaobdpkdjSM/FUoXW6O1zNXk3Qqspl6DKOxb5d5ui/M3dtZbq2e3C1wazO2ro
RJeqV2YUashnrOqUJyfbwZTAs5roqy9avx6jYxDctJJOtoiLGdeR/E0FxFGQ4OkyEV92Mfqz1m1s
HbG4Q1pK6zfPS/G+l/VhJt9LEHRjdJRsJSFXimS4KfWASgHN++gi99Pqs7s0CTCEzUOz5wJVQFaU
V9Us6/gkhdnfoWH327LpfGqHF5LHsMVtee8G7SkeXHfdikGuHTbqa/qz7xNPHbtoBLY+NFytUm9d
6PLThP7qy74/UozNsFgIqAfg4STQd6frLR+FbVwPM9WffLQJWCTzjYPLa9TKb10sngB2sevUJAYL
SOTWSMNTIodzy/COPKyXR/CAh640Hh1IAb5htVvPINyNzI/1tY9WJJn2ZtFvAbhd7ML7dHBMLoaa
eTVb9p1bUQEdVNpLlWRHMjTvTMu3lsxfGwvFrbL1nbSjswqTI+CYB6uUFJcBjFmN8TJjd8Wvmzg9
+rZxmdF+hVrqPelY8A07OYgGFGxtNTU5iMIvE9mCHMsGggzJEX06xtIm072laU9GENBhjud6XYgW
b6ULkT/U6iNhDWNrDtl000zRSyVdGB5iZijnpG5SDEdpf79oo6yWrW+219iui8LHm3EPJeJpsAK6
1AWpT61z76yQr6gP2jcYjc04Tcd4CPw0bnAS0OM7WsYtisbRKdJxa0Pd29Z4zoGr7VRGVNUKOckE
/jqZwgIrNtZSVg0i8hrVFuhc/UWf7St2mNbXOFtXIZ+OONNY+k7BJiqdfWmQ8uV1zth6VEuD/THR
64cm7Dx4OmxFxglVJjTHo1cm6W4kdaS50yfJBlSCgkoVJ6Y4+QJ48WRAss4lpOcIWCwr/HtEg7OS
IazUXoFKbpJzZttrrU0+bBl8IDCio6mlJpiPp4DSRfBrQBZx/SYlWjegzBuewGmhJmRHOA9U/WGT
QdHT54GC8OGucEq8ABypFdl3c9d19k9StSdcBtdG8OdQvimAngEJhXSqzJCPj7YLsnG2pndSHE+j
FE/KIO4uLJ8wAbzQLmG/YvZUIfcNPm+aoT3c8Gc0/EjPLlIOXGNkSuNVe26H/MlIqj3907sIBN4q
9sKtrXUf0vVIAGvlKoJWspox4K87t6WgTISfNZYKvO+88Tzk+1umoPAQNy7ghuaHRu72SqaNKEe/
vE3BFARRDWHQdDUcE5M4Ra11kwIHL0fCejQCtlrlk+Fhr6Yv7odRr/H8FOTi5tusyKAup3dTy1pw
To6VhlLjJeo1psI0yQfSPcT00ra/aLPzPhvmSdCBbI0GFn24K66T+fgFWE5RxdRW8SmsRb+WyuMy
PbmgJ538zALx5DqkmLQkeYQLDe4nvRq8b0xa4TYWQRuCOC3SE0zlWLBSqG2PlgWbT6/L1m1VdoqP
x1LO4PALDzHO/bTQ5DdpSmu2SDr8dv3snfJ2Xnn0FQHVMwu/HRpxQfl6D7yWBhkeP6NrEnG0TKIE
CumDEE55J3rdRP5pol1jWu/Kar1rOjMoSpa7D44O2AWPVsg9gLJKD8cZM5HnS4w+FsMtP7Ugs9i2
JaY2q7aH19zo610c8injTgPrSRH9igBczYVn79DBAgp0I3UtjNyg6zM3b9SoEYAQ9m6S02nGGXYq
YlPGC0/RA4jctrcVcH3eqH1IBffgvKFrKCL6xBCw71nmqSpUfWH25hOLr9hcVUuDY6vlj2E5uP8X
KLn/fTdbyzZsLoP//c32Jv6pf5qv6N9cAn//a/+43Np/WPhQeTsKx+X/DK7K/zDJWn94Nk1Prgva
2JAeeez/dAlQ7GA5tqC6wXVM628Ggn9ebpcrsUONIt/cclXGP/tX2hsMc3HB/skli00A6iffiMU/
MfJK7tF/vt3iE8rKOs1Ie2g6KRlGUEjYu97ML07pbmFYZWuSAaTxSBJ4Y0AHJ6mMOcGlKtCMph59
MvXAwxfVyO2p2BZ6cssinQ/N3J/LSFEm0g3gEeeJq1BQPNl5S64600EWlBz7aaEPu9DOr8BmbsXQ
/OJGohK4ts5JL49VqEBN0hpw9aKGhadDsHKaQz7n1MjS8JTslG1r1L3lOy1hyzmoRL+yWDFBJ3fa
YvFf+koXlxH20xW51X2ruR8laMhNZxsRRWoRfxvrgE0R0LMZWGsdBtKqbYv3trccBkQaBaLGu9F0
R6EROjzyljaq6m1q6kMs7bsgjfZwe3iiNeEOUyat6nq/5QIXrw2ZHblRFTxLrG2Z1M9Rx52emy/M
NkLSPVQQiMRs8CPyJ3bQLdUOGKSIxJJU8/L3pDE+UlaoZOuza1PxAJcxbiDGnhivbvzUWfaTm/EF
S/FEgOEWQ8oCuie4kdrWtZnNnwFf0SY2ss+KkvVURJ9yzG9HK98Us/ZbNtWLFTvf9RweOctOJugf
PAFuR6difdum5SVo9KPN7LpurWkTFbRSyehnYvpEtyczzLO1/w/2ziTJcSTbsitCFBpFV1IjkmBP
Gq038wnErUMPKBQ9tlIbqmXVQfzMnxklkoMcfvk1zIjw9I4EVN+79xxv3LjmpvhmsLofZyfI+2QX
OdScU0OtDBle65LcIcmFk1t7qHbDLZN1VgYTEjULXGpl7sEccHZvSEIZHecgPQVBm9xprYttnr1K
BZSM7Tl4l347g+rsh8q92t3Q75NpqFhXUgpmjb303w0zgkNC9MCCXQeAKYU7x4SBq5qU/NOivLAK
XSvdoTyQHW0LeVZHKswYup3jcIawGuOJAiHqpLLAdTiOG9WC9uMzfrMamw1bXR+pObCXBbDAdJMt
ulA5+cKIhWGFc9e9QJJhBzQMz7bBUc7obqavH4xU3TW1PCvVXVqdN9I0+AThymorkWwy93GORb9w
Y2YuaiUNsnqh2PNHSGZPpgwUPOOLIru2kQaflBz0x8ar4o1s09dWDYehGy5zBX7bwKiYCS6ik1//
0hQq0GlkNJQkcjdo3wwpgn4u7xgymBtuax8Yqs4jtwwjgvVtm2ey5rTodeZIBAQDq6cBRht921lq
GzJQWcl++ID9BVww0a92GG/nvNVWcc/vxRHyybVHEqYazUHaRIxbu31nma+zX236qIECTshFUltp
vjnRB0ZPr41JzNoS1dbNyYRjUzlbXbOZQ/0hs1JOAiMQ2Np9doRxAY7NNdT8TszuJEA40tN/scZu
TzqSz7+BEi5c2vCQzMP4C6X3Ts2IOfFsqbPAXxkz/JgSE8B01ux8O6bK6agza0/qkYlOuKDRto7u
bWvW5EGk6seKesqaXw3buVhbblvsZ1zD+HILhNFLrGtPrAkMcySPbtjhfqMyNBX6IyZEGBYulyXP
6TaWWX8O2F1AXtIPslkpp7N7oIjrgrERzJW8j0XSyVER63pcoOsTOwZC9z3AyF1d8CwZizllZZ5e
QzB/aUh2hABIvaoKLuKyndKVp9sgfbpDlNT7jifnqUnYURPZdP3yHOoIwkX5EA31o8hLGpnLyRzA
dai9mfTPamr8sCpN71cZ8nnL5I3C4wDR3trqsziKgVQ5WtUm0IF7YOZ0Mhbss4fdCT19WZf1imbw
sAZ50zy6YpZbly9eCVYh8KFBraVt408kt7BwfpdLXn031fVdzx62L7KDXWuHsVqiCJp2p+zpV9zj
nZZIigNYXvUm0b32XPe95C94PmTIc1cDcZRoKbY7KV+LruMipKWWv49Z+ft9dIlq5ATcPMmWamjr
WS3C7FBYe/iTUhnfctcje2rpv0F0xzubCCtnwvZMPf6+o41Gy4POBMS5HSELPpoZ3x4XQPumMflI
mA7QvmH8xgthrTBpPgh7tmAb0P2KYI/5JmR3UPt+0Cqw4zQIMQYRHiiTdFNoyZHpcr22W3ZtlcG8
r2C3y16Xn6Cw4JvhEIZRyPDO6HYu61OAFExywFlEOX/0c8SfdSSIZEV8+M2ZI5uBFTg36ZhazJMA
CsJW7evNSCzoNKLp2hh5gpghFLT4+OQfBHrGFdTgAiO8Qay/qX91ptevBB36c5F5KcoDDYmqI85O
6DMQggsCGTqNqesm3AbcGcpoGrOZh5yy0jVqXlYBRZG4cxLxdXZDFcjaKrb+1DVbLKZnl6FqAL7S
YcMryNxb8xPY9bPQx6M5mTAL7QEpQzNre5oA/oFz/3uvZwxEclzefI2wA+foykpGbmmKWaGvqvc+
owKSsw2l3MFDoCtRalCSTxry2NAuKXZa6FucJHuVifec+OIuTLPwcc5x1Ei9P+qtLZ9ap1PXuo27
oOqKlzjvPpq4L/cdUI6jrVxIYLTj91OngtwnHgwsq9jWrE1XfDwxqlgECKu2YsOfkfs2k/hVy9jc
9sv1qNEaYy2d0t/AJrsJi+2gEYd73CdAzTyrW5OHucOjRWd0ig5OH87cmG2UxBoFIBjerkAMS3Lc
sKR75FO5DPuGbOfoZn8wS4SMKi3o7s1GH9gpe2hPH+7DsQIi1q9RwfLpEb/oDAR+G5MvATscVCPI
+NlPPxFQ3Kd6Ravc5LHSJhflTofZd2L28/w+0pno5NQxw2PRzPMMa5TpYKxK0L6v9DznakIqj8Ez
VXBdPQ8tcwiWMmuzYuU75jSSC5UfHAukojJCya9mxgupgYXzCA12Sh3jGMgDySSCPjkLRVR+LEGF
/+FrRGAknVraA4TenKvSwYelpX2yXJ+ERL+WUtMp0yMYyNx3RIovpu1dw2HYaYYDbkAQ5nR669TO
6RlKTbPJmRFCwMMARRXT4u2FbgxmbsgNX+PXMjrHrkj49WeE2Xq7fKyGgXoxPEBn8K+zKLgBmtGJ
AuxNy509iZo6KKsqDdqMxAWXcUdO+6YC36n7vKJcKMjZIiZozPBFUAhNJkyY+sCgmkzpY+iVQVJD
HIqzaMP8DSck7xrJFZ3S7C3BxiFd+Trr5p1GB5LYHFP/qWyTjZFV763nLjOcWX+GKSlUYOh1uvZ1
/a20PNSlLmXaBqVlo8fUGhxMyQxo71G18bdIIXTf2uSjfGIzmwkHRxUZV8Sw9S5Fp8PHepTHRkpy
QB0YhLa55oN7r2Kb+lUDHmQeVDDihzIGAZIQdwzGwhvJ5ifD1A5zUxwtvfwY2+yZTkW0qseYBi9l
4DC3+7U9oUurCqYg+CkWBDvnjRg43VDez4rJWe0KgCnVTOie/KgwMkzAs9bvfVzgG4/IiBDFZ+n5
zMirLeajs4ehNvex/VS28Rm3AI60Rmy8OvklNDlczEn7jwkP/ZtHS+fyT7f/o5R2us7hkgnBrH/Q
nKPV8LAQ7vxOKSMAEa8TeoUZMXBgiqstHvJ+7ff5rhzVI9rfZyQmHWuI9Hl0iNWqwuJnMdHkwmPj
IS7b+ZE10MlrGAHWy55JmwlgzaOtBVUSoQ4Ca1/H+oYB9tK98L4FkJIkK3DVU6Qwu4zneuOv26pa
22l6MCksJcrRg5ItBOlixdqg1bdalFzQqSC/9LhJ1C7z/MSp8f/OgK4ZGp8yYJAsdUZ202bLp4Vm
H6oLHhOZyD9aMxVIHc11zqZxZdnaUyYTjFO6F0yKqphBYmPVhiaPX5Ow1xRETnmIUatcDNvVAt+0
HwxmIEApOAbb06bv223dxScjycjjtfozNTo2HDz2bWzcVfZSZvp9FnGby7HIa+NRpkngDvnXhK5t
CxQ72WaxSwWCX01DdcNl8p14oPJDOGGAUw9O+ywLmzfFPG+93DZhEJBcb2a8wmRsD00Cj8violc5
6WNfRa/eRE44DPNtX1FNzwoSpDOsG6Mf30kk3qF3f5rHjPRk6/yw07iTkUETqlnHAuuWbhQvzMvX
qswIiuic8VAqLmaJ9tlwqB7x4tJ3WeepiwcxtC3dwAMusfIjZomlBYIoCwRapUDM/Pz6qG9L2ZME
td0Hx/CJw8lzno37xmc3UfTJdvBG7EeldmnS0dzFtZkEVEhemZghem9J33kNxwWHun4zTYeuak6V
xoo0S1CoiupnmsgySrorPqEnTvbqc7baPMiHHttIaNdbv8p+LNVcktmSnBNzvqLendP0p66dt/rY
XY0s3KYuXm3BwqqIv7B5vCBWOUkMGSsj5UYl5B3+kb0i7DqI8KFz3G2vrFPovzlOu3EI4Ql8SRB+
bsMUsTQD49a2ICKBD0BWPlQzrOkcuZXMnzq71zg9Ul/v6oYCf2uOSFbDtd85x1kvDwUGIt4VpQUu
QHHHGW325/oEVMe0o7WpihP7wYqRgcKF68kbYXBiKA7uN/JCOKMyFMM6nbd6FF+egayKrdLaG7wn
VaHfqAdiOtrwEochVCITrCs4YUKRUbEBqaiv/dZ7Kyk/Lnerj0k59laG4s5kfL3lX3220kZ2aB45
pz6kqfW74WzUe8O0ssB4xolzwGi9D4dk27QDxAd1MlqnWbMeZCmSJWeQ/FxsGgQPSc+sJEIYH5Nl
NG+5sM9FWPPhd8HXFOF9JM3nmvXXGlicArmmdgoxn1VOR04cG+X19zBoR77VxIKY6XGxVuOLmVgv
sprf/NA6TG56rhHbhDmy+i71VrZhnkcz40rvsGayP2t0j0Iu4Dn5mdTWrUcXl2jMXe0ovpRuzl0H
oK8f6/cird6TLjm3aHNYPd5wOB6yZUAC3yzIYcTZPveKcd55No/MeiLfVinnQSh+P13qH1mc9Svp
9vfhZH7ZPEiVZewbYbP7V9lm6qt9TVISEQcaRZ0wF+R0EFljXe3G2v4MofCVOXMG1YD2rR5ULG8I
f3iqjIFamsYdB5AS3yMGEw4Fjci+WL5s8nHOgrIgjsGh86EQ/kmW2Lrz4pKXsBW0uXpv4Ial0g53
HuWLzBN7t2s3xei/8/OTH9bZw2agivJk5rVdQwByQraXY7cbfe8rEuM3ZdZdw+Hc6r0ZCuiwt/Lh
mio7UITsO3yes9XvMspuXKvNowekjqbqd8Uj2eZTzviMBQR3jVU7eLtWpmPw3yI2BDoAVca/Hq6e
VMW98PfX/9PBEv/x4/42XXX+MCBZur7BUNRZ6lj/OV0VfzgW7Svf4x/+SRr4x3SVH+Tzowia2EvN
6p+jQ0xrPYOpq2lDymQo6v0701XXX4anfx2uUg9zHdu3dcMzwHL+dbgqayzRpeXzTYRUIxfTvd1n
iCoqm8a+gm+ryacwzQ3Cf8LZhG1LfzVmFt9jnONJ0hHN5kPscIbFFEMOCJM3k0PAPhBPmqtODiJ2
2seuyh8mycQirdiFeJl4j/VJgiWCiZF0pOqLbDq1bluQDu0MNszMPQaNUjVAqd6OTl1ERbQXziMT
uIvhs35NQwRufaerjVnhyrQM7bHxuCGIzAVL1zl8ZVsQnynTna3wtP6aNsu3c4o/aAW1G2ChuwaY
9plX/3wMqdVwugpXIY9VGGTZnTXKm9MxoaNO+mhPlv+QuTVUdiJSFzyiSxClep8HNKnV7L5AZQdG
Nl1nO3weYPfFjkkuyLxLXYk6rsdPFLZHrUqWd7i9neroA7FUu65lfJS6/6WPgCr9WZLqrxFht8uK
zmhY89kc76KSDOGgR82eXolJoKAMxiS7MxtSgzARAMqRI4xxSQXsbB946b0Jb3iwC3FBr14eErIf
C2CRI0TkHOBJk1stu7eZpei+s53naaK8hmzzxl90z3lCGy/cH62dz98AQPV7yOOSUvOwx1TKDrmk
sNwYdGm9YefE+ZMxlbe0bx5cvTyZitK8DztCc91ziyQPFSwkSEogHPw9hsDJS9ml+d5adsuRZLNn
cvd2XH1LTuB1yp1vtgpHSVonIL5xFr1/Z/vMpUQp76rSp7uThE9tDTMbBVR87FWGijHhhZ4ayc2L
hh/IlU8GrJqVa7XApWTz1Qv6wabxPpcMiipT11ifxTTJCuM+GrnVmYTIRpiGUIT3nt0+l+FwKZIF
FWTkv/OezAmOQkIozk/acGg1q2vnF9Ss62tj2HsQzPLQ9nWzpmEIw6n5turR3IJcWlbM6r3qBTYD
29nxWrzkXCIQoumoz5rm4iQonZz+pkxO5OySaVWQ8QcF4u7Q/EU7E8IYgBnx28y4xmXdaB2nzA4a
t1oEjOVjUaU/ohfHNrdHXm3NJ1vaN8nY5oTw1SEzWnFJyFx8VO6joB4cJuUvU9j3xcggWtJdoDN8
dLEZR2n3FYVNwzVV59QaIWITWrnrNBJiNrLRrE0vufCpjnD/MtxzSnur50wc58yelf6V8SN1ZrxB
K618w/s9UJ5/mzo7pz4y37LIavhoG8FMkA1mAl4Cqg/raG5/xOzw3xCIWw1x9gYnftySPmEpkzMW
MuenQmdkQP5iHjCGpCBEi5zl4dCTRp/DXK5UldzHIO8TffrmEQY/q/nR9fKRVMi6jcYrh3yOthMB
D8t46fr8DD3xnUN4UId2SwQOindJNWavqnnPTBOKiepw9E1GxK8qUltRq2MuGZsV0Itsd8O78Wns
hmsG7HqNVeDS0gGhDT8E7ER74AfjrXbhICLOrjvtFyvaljzDzEYjJ9rd9FfbKX7YtV5joV4aFqEB
LKugCquQr/fwNhv5DqCtsbQq2xXy0bNV8TTutW4PHdZZM+plX+uSB5bW+JM1FZNh0flvKiVoIsfa
uTQsjzcKSWzKuXHbRTHSX2BnWkGujmE4dzlWAsSPe2cmPhQFvT4H2SyeQwQoG42txGgNyznJOFg5
PSmZNC8iNU9JTIt00H5wgG5KpTHKyMQbk5VNNZHc7iRIGE5zDJ195pP1UL1ajeVzb623Wg2G1TUz
qJr6RZH5E7K/i514yxQHbwZLCd/RrsqqLzMpgVXqjI9ceAKRjxSZPMkji2J9nEDPbMIaapNdAaRX
DFIZ+vkDNoelb1HkV502IeOhHWmCCwbfT4QI2wmghEVd1/ArPg7DeDYYURLqvgxwNCPpX2lL3lmM
0ARz+RYXzWxUOxl2j+jQNlqXvM15/BRO+WEuwiOxxl1oK6BpHQAxO90XhRi5UvMXmyUf7IzAi7Nn
StkJNG110HuLVH2krRO+nivy35+N9LQziKqDF3NRR5SDJ8EcDHZt9dZ09W87KX5PqUe7o6NPgdqX
iz2PDkXSgq7+rhHsPBox01BuiW/OKYdUGxq8x9p07U/1T6kisAEpq3qCCUyRSn6QsRjliQmS2oqK
ncg6ZKthyI3H6lwCk86qiv1LN9gqmMzx05RmgCoryFV2HNIhyGowenToGMIyGMkaps4JTiNjXGoK
sDkE14NRT3adkPty8OKga7l8xKmFjTzMO6D6rSLuy9okEvKqkmTv0i5jNKXDUy7rW40RddM0Hl87
nQGRU3q0GHWGSbwHmbiQv4ML+AJKbuvNGlNMNpWRy8cpY3dJJRh6m5lHO4e9ZtejRGbPObLv1BSg
WPafQxTfTfFUM3j1L8OfK1KLxnjs57+MZX1qsEflKJO9jLZ89ToY3/2ybK3/XLuyfwUgss89njkm
jKKNEzOkbgs2KElNwkZEAp9MksRrqYpdZxsahKB010uHIsyy+jXy0lwDDGVAXBqPaVpzA1Hlfsq9
56mON0T4r3wr7i3J28O2QRCb/LYJZLWKGlvB13itmxS2Cs8ft2mbfUWSvx+4VFQAxYGsSEzcBw1H
b4G20/z5bEE/WY9JJ7ZRN30vhq0hbuS2mJ3XtEpd/vD8NTei/ora5lMN9o2GbXJbSsprR89n9IHm
fCmG8GSR02JTxEanifkYS6FhizDvu4l3QNHLnVeKzQxqdRc2nFg6R6evp6xLL9PP0hyp4PkAQRKF
LcPL3unZW+w0wFlpiNc09WMAw0QCMZ3I9rHDseZ8rRKa66ZoPXYa2b4HJrUae2ZEVhXRnQ5/9TY3
Pyft7kvUTkmSPWohPUOGng8TGZstBeSZG42nre2+AXKFCpoZX3KioDGR/CwYvHjMMZOOZU1t8myu
Kg4yA8Q3ymQcI/qEZQwdrxUziJ1Mopa+Mflfj8YsR75hXcfhK/dMc1/5vKWa6dzJABATm2vY31U9
c9m2rq6F/NO1vcOkjxdsHifpROF9q4VboxHHqImw3qKtkX67a2IsFoVPYbLTb3rGhbU2jUdR9Tdt
5qg09+07ula4W4P7lEzZV8tdj0z1yeINT2Ge+JQfuq/a0vgG0vVeU24L5lDlD03hoR5Ci01GAgN6
VVGp51IZ7ZTtPYwFpLxQph+ePRPs7FN2AUN0TaIQY0lpmoHj5BF/wRExKv1euXQgi/RCoqva4G5+
KCcOphSKCOI5/L0lSzDba5v16JAbpjcEJhtcHrFvOsHplN8B7ixOmhhSQhPMi8dMH7cGHxxFSHs7
GJY4i8m7deTdtjhlrXVTxW+gGkhr4U4PFhoiijU9PDtFZ4E9J94+RHp0Kar+jmnsTWbMJoduDLdR
xDSK/AoUlAykLF00JByeuXUTlpSCwBRbiHtm0YIrQnuVJt2AaKL2FYXOENhRGO0Ky1VrDuq0w603
i2/tKsRLsw6xCay4sUP3z9ZCpRsv4Vufm1vVm5dooIE1glJjnC5PWtcfXTN88jQTtJTMykCRDJtq
TvFWu+uKAtkv8bdiuHWe9RK7Nfkomg5iEbvMPcipimWUF1dn3eaNksryHSr3pvfYMufqlHYtsB6H
0Yibi28uQ+ZGs4W5GoqqXBsjs4EaMR4lpFWHyY2KY/YwTeRl2eEFyTjfEEAztNTCT+UwLP/37/SX
5FNhyvpp/9f/+Bz/52clJ5VEcftn3Ocf/+u/XqyKAJzNRfhf3/zXv3Psm03y11jV337Y3y7+3h86
lSGb/g+XdF6H/7j4O3+YyD0Nn+cjABRfcCf/O3xF/MFN3LYIXVn8aNsFS/j3WJX4Q7f4Vy7lCBf6
mfNvWTepLv314m8KUxC1svh5mDAAgyH19c+pKtWMgKRGZszNyECOEqs7bOH28FauCk3nLDM8WYbU
eZ0OznfGRuYtDOeFSVw5uK6dcG8x5XxwMjL2aK/MUxanegZcq2+D3nWtg9kZ4sHI2Fdux7D3n2pV
hHvhlUQUmUhQyAuXZ4jn5hvYuP1mYMwbAEqjOIuiccV56nkgCgt+lXXqyYmr6FcV6pyoG4e4W6N3
vC388NEKzUedJbo7jgX2A0xwconyQFWMg9zjwVV7Kgw83nW7xEvlXlRVBn5UVfBKyn4fNlYBgAJV
pAr7oJ1a7wIUVR31aHovC7KweUexZBrjPChrnflvkoo1k05WLD6pUOgzZAG4vj9KcqxeRKpEk1xo
UvqTYsUGCE9maFhHlY/ugS0mZ3CpRi4ZY3oxnNZ6KyrpvpmNf/Cy9CQ9e7yMBaeWAkPiTk5OhZuB
HpFRtyrgBjuf0HX7LyM7Yn5f47AbAc6sqznXd6SxrHMu2sfIb64pmfmF7z0TA5eWei94zp5LQnQB
bIJmQ1qZ6pEo89PUKrHVw+hjcsvsbvDt5OJBkOBXim6Pq5zO7vrOcFnrYilIdn7cL94zp/zdGPHn
PJjaVnTYC+h00GG9LxzY0yK2DomMcQ5wS+JdfM0t9sobmWvDgxXGvyYrvxC/fpREjoLe7Ftg6Paz
yC1xMVG9IugGLNCoOMmh3TfDzavD9DDlgzwahFdB2VQswgxZ7VAR5drGd0mVKE4lwmgffd4PuJO7
5BC3Y7ZuR6aZxLDaDyfT/Pc8DLcjGYk7Ffv9tkk058wWujw6Wjd+VZpuESUkfJHb0xtp4OHo6oL3
M5HflQOy/IBaLz+K2f6N0AjVUufW3RGiXo3lmD9GKr2RfUjztjTogk7uPqpN+aQLbY63A19DKOj5
otmuki2YNy2YCawcQWNhoeJ+kulSnayiMo92Arc5VgwZ8jRLSRkWTN9nPEokEcmheGl842jINacY
4fCaP3UyJDctXMxLwqrv6ghciRoV9WBaX7yUMD9rEsI3hx+/7a6zLFDrygYb/JwvqQp1osTsF1w8
iPlZ9FoYiYzZk+QruvH94d3mwpMn+kHX8i9HY03Kb3nrKHHMQpZRLBZJdM+cGErHXXAsvId4T9mE
SfJc67+1OoUq0o1lvgE/B8/b1MgLjtmWZweZvEh3DrmVhCtF7dvUyzxoJkATIhx+wzQoQU46gWHk
9O8SYlySaHZD9m8icwFazoJvF2/KLrpFDu0nuuQpw5HVYCdrhZ0KfzlbwjVr6NfJzJ1TW7E3HiQh
9xW1WIoknHUJMlL8GfmycUT0P4YOKQKliw2OVOB//uA/Gj2DTQYyzbqT2UdKT4J5zlLBWfDM5tyY
a2IgPjUC57sjnP7TVCLFhOnuNEw9jARtcz8ZdLdFFJnnNi5ahOnJJfXeqokNt5eThDT82GCtYgN+
tInojRZ2D7iIlyiE2MTDSnbeum4aGIUi3rkGuUOgR3pDXQWnYNGnjxTMHwyVP8UYMvCjsNxwzFtM
n6ipmSiktdoaEYutsXuup+xubDl2k74UcKebq1fJdZsyNmEdTvbi3XAYzU1e+ZgpnytW7PzEHlzW
CBXtoJGJqIfB4PNgbNvefYTR412xur/mxvDaozxwOchfuQfyf+Hk72rmGJgOZK48ZAqYCei3gDPc
W5VX/EqdSv/RHbEPmXgmq7bs7pyh+TVXZhA1lf0RL6id2DWh6SyjH50i5AGGElfGuNP3ZVG9Jbqz
AO65QOM92Qj0v13J34zJ/5sZyR2B4Ydc6IwdHaBauo8xWBY56ZisJaTlnVogOI4DNIMBGBsWvvwx
zZQoeoWRcgPrqoJi8B7zqWGkwoRoo1fJT+0vercZgxRLqJWpR2YwsgY/GaGnXaZZ4Q5lWPXNMx73
OcWvH7OhbgYDKVr9/7PXf6LvWIiQAP/XZ6/r9+/i//zvv568YNItP+hvJy/3D77GCM1toqs2qbV/
BNrtP5ZNh+e7DiczR7f/6eTl/mEJHrro0V3DRpYOjO7vJy/nDxKcJN0tGuAmmLp/a+XC8e+vJy/y
7ATZTZY7i1zd41f615OX7A3EoBoYSGuRUc++ODcjDUfCDcMhWUQNODXxC+NugNH/qgvGaj1vVg5o
t95dBoHlx2DNztFt4YLCLfnUMUJkw6gf+ddX4fIp1yhp0l75qUml5rzNj5rmXKo/BROd9pS3KCeS
imH6QjVAOXlAxOdTenQZaeu/e936ZS/iinJRWNS68ebN9re1yC1cLBcT1/R1ow0bBh8kmPCeBknC
W7Wlq9EQIxok+9ByHPr16FPjaf2ljoZVo8OuoVVoNmRp60G6qDdkSpQ4XnQcTTy/DtSIodJY+8LS
UXbozDlk7dbrBhazFtIiGxfFR94qaj+L9sNMjT3gH6o2ScfZxHyHzfDLyLg+9bLe+1Bh87B+iduM
WClWkcrSaetww2YhDSCU62xTQscGuI/UBxBcx3/DaY/MGjS4xQiVrQ2e5m4jPxVOEwgRXxaOE0wL
B2+RnpiSy+iQVI/VIkSBtnE3s66BFHevLcqUuR+/h7n9dBaZilajVfFCnqkVppVkRLni416JcbA4
MTKWfEx+W4uexYyaV7+qzyyl3213fE6G7kgp7mLzU9+Tk0x4AJYPljRu4yJ/MRcNjIUPBlMuXR3A
x3bDLJPf/60LjfKuxSJDZY6hA14Zwt4s2jDNZHnKYx/3DKeNo6Q5FOo0JnKDqBF8qW3ea2/jIq4p
Mt3Zq0Vmg2qbN8ECpe7yQySrFwwgYJXrbts29buNEad3GD7XiyRnXnQ5bVX8igbQAYtIx8OoY5QT
uf7syeiKu2RR7lQstA3RPTWLjKdYtDxG9BbV9ruPrcderD2k0RxvVSLyoStf7RVqH8/kw1Y2chUu
1p/exR8bIQLiHAkNb3ED8QE7ZjruNgksSqAPEiH8Q3yExFij9iOhUL1qkA11pniF+vrMhm5NnJSJ
xjm6T9vfiWm/K2RFphUd2VbcwE8TfeOkD83gXKM3miY4cMV4q4AiGxWpDvABcIkzwuPtYkeSWX9W
+tJpjpfvLg7RzOWdmC8YsZtCsNSZE2DWP51LyJdEgmwIGZOPlAl428F10mIzJNhUwIdZASFhGg+Y
R9B+7qvF7uQtnqfWmsaVs7ifSEa9uXllrWLYJGDMzjkGkW2/GKMc1FH9gBMOS9KGB8J17PCZNItn
SuqIf0fUU74OhbnqwMTl7NYw4dSrPzNgykOQRDF9lU4Vw7WSuZwRta92petEduunakwfC5kl8Pn1
fVhoIS3Y6YDbO2DuEjM1jXat8Dlk67/roX5j3bN3rNEC393cQQuAyANRcBa2xbiEeFRTh1VgcvkL
yIo+xCnfWGhX5Yag5zGKEHXxkv60rZh4nWvf8cwn0q3XDPFAAFtetx8M4t5DtkDMucrx5J1XS9ip
icqLIQkTGxQp9LCnpYito5ksuAeZaHlsJe22zAag+HHzluY92fCutq4j0tXzWLnMldvyxKskQFBb
n2llf5e0GYRrB11evo5WvlcTGxmj4pu7BMpXcfKRQSdcgWy4KTJ5G+mmJRL15Nz42O5o31fbWLcQ
W/AJABNPDJ8LAHpi75Nl+yUSLYhjzixLVSRhL+GquzTWPrKGQ+kiUfHLoeePGm1xp8qHmAUkw8X2
t1kmEA8GzrtJRiQ3i7rPuTT3ud7yac+qKRB883SNbEkoKLcn44I5tB+VEZlPkW2+GQlTqLJ32p1q
ot+pOYYUllhrtgDCYQ5oCWtQZ1OH+kuYtAQ2u/kL6cLWaKsPXe+OvZ0+ji25NzrVbPhRKE40NhlB
n3qbC7nR3YU+W5ou3dg5oI5wjveNq16nptrL2LhvLNqGiTtRFw43mKDBE4E9mvzHGOpd6pnxXqGL
okskL0OljmXckX+tmigw5vSToTISAPbwrWHSEIzcQHXQoUe+PBzt6m0fhp9FM72lDkIoF9FLMjDq
XVgBfZTDgyXX2OTYGzkSUgZn0NYQnQNFf8oX4k658KAdPVoNzrQr0iraWpYEjA8bJUHaTPrX9z/L
RVFfJKa2nrrpiUIwoLS+PmiyGE5che/GPh0IY6elc/AMq7x0FYQDlswQh7Tunth79FX2/rvpSt6D
fGaJYHgYCqoo0XfC0RhkR20QO+llHO3HYi5QM4Fvm1KdaYzPHaggkzHnEcNu2lTL0p5MNZTyvlab
FlI+xpqbTNofwDG7MjPvs4lLruEczaQ+A7kABWa+RUn1gjY8Y7FQfPNxhSmUvnm9fUmhy0acl7de
NKO9TF/q1PRYJ44nHYzpurPNT55Kq2J2iycCJgsihp5Wx0vZSrN4Pev6tZkaY8spCAxDyT5rqMt3
G6aKaqPT1Ktr4yvzOs9NtfX6YTfT+A6o/Nwz0NpFnQOXPjauo4FTuoRXuQ6ztP+/7J3HcuxImqXf
ZdaDNLgDDrGYRYcWDMGg5gZGdaG1xtPPh8yqnMoa6zbL5Yz1+l7SSDDg/otzvrMdYzCLShsX00j0
ESvVTS6B/4Mca17RyW5HAGmg6csQDRa5fro76cvYnS6WP736JsenGRLuqCNYMxR97DKrPGz8Hm8F
n2h+jrhaQpdlbu/RRkI1sxemFdhUJHSQZHyRYsSCMy8jmKnxj+1ymZdwsjCDgSQY/AfHKNCLI2dk
tIal0O4rg21HToaM1uQQ+wKohH3zXKXkjqVSjhREZk8EXKxvwXHAdzS5loHR24wbHGwUuKSEKA+j
CVBVoGxZGtH05TWQyMWI9U3GjKPIsK6WTdqWSz9BAOGZ6QfRECRCO6Z+V3cNH+ywJ0tLOXjDRlYn
Ro/wAI7/2WyzcaukhyQs7Ll76lRh9dPbdTm48Rd7WZs+1vqRxD4RWTXiU7DqgyUCtCxEzwIKBdio
My9jMIS4bkIljQKAR5bbXxLsMcuw4pZwZK0Lo33X6c4CtHKrsYebOOCQzjqDcqU/i5D4B0Tg9GpN
JE+Vk14aAw9fMGZo0/SaVEnN0tZ+Xv+UDtArxNezHQABkk6Nq1Ltgxi+c1drZxYEv7oMjbZW6R86
3mkUISS2UdhNKrpvyU/wbDCkUBAY5yWDXJGC8ei7+jPREv2WwSEbEy//IZL9R3kN6gG2vLLZQQEY
+xhuvJzPxWZLLvX8nHYdFMa06PsFrvdXJ+0uMMcu3ShIp8dYBHHOeHMSHEB8Hn6gtRdsTvEJkf7X
rSwBoAOb2SUa66/WtdGfI7ZBPJyhIuouWlWdPPZDY2Hfm3H+GGsNtp4ZCDKl8NF6299oVWngxEyp
QnrCVAOyppJyW6L8Zv4XvHAmPRm6H/HGoJqxs2BTFw0oeB9MWs2OQ8bG0XL2enMsxo2fY+tImF4k
73HV3dchu19CLfaOMc3/k085tQWpXaOPdMAtbzZ107qpcWID0H+UNZhOLKZ3g4JvkrRMTOUEKRW0
yhML4ZtvlOccGNDCEkABOBHvjA7dZzZWex1ICt+2vRhhuk6N7IbDdenyOFdtED2ODvtV2+zPqDkh
GXoeRFCWyVjVA5LP+Lp0XLAhfK4Cbe91dbsCs5+ttUGeQzswt07CHNIb+ftQSNzSHgKPCl8dE2yj
gLunO2iA68A1l6EOwaBqLiG8WeY118x3jklePgB4vblFcc9y7YmwnFmze/WL9AyYBDfVMN5wzCHE
HsMnwp1uIXmA42CBCQxZU+WB02G+x8yHwnoFmc366KTd3kTP9GGyhsexGNdhxSJx9DiNfABDi8qe
GJe2/mMFJm85VM5P4GXFtkRGt66KAEVamZ3x3DJztdGUFC2DTQSseIO6TVNGMRHqABtSkRKtNnUH
lzeqSIpiNUaskcyWY0hM6H4V3I0dMUgZrDikBqNWWHgYiZGN58y9YE7fM1N1tGnxLKrIRZCU6UvB
i7GKe4zDDul9FTsPVF1Er4xu9VnI+DE1jVNP5F+MCYgqAc+N34UHIm2yjd4ReVYpblhNmJ8e4YFO
bTwBB1Jrh1jBkZjHBYp2m74k9Y4R4YMoKi7unEboE0vYS4XOvKowvHBv/v1pyv+DOyrIuww2/vM5
yaL6CJOPv85JzD++6M8NFaskNKS6oxhuEET1pzTV/k23rJkI8Pvmat41/bmhUr+ZeAyIB9CFsIUz
u/H/OSeBamcS686CirwBU/49478pZvz/v0hT+Q6KaczMtbMNIaDo/XVOAoSuH8HCekvYdMjVQ8r6
xyyBCAPPqag+xzI+dpqWPBBTy2p9YvHRJqlxNkFyXDFL9rMRDCOFOfjtzmz6p6bCf1XK0dxNOXIo
Bz0NS/WpB8FfDETQVgjTUMneN3VtlSsWBNzaDB360aAEa6aDKBky1q3JQB4ZkTmcgybbd9PwBLI3
BHM+5VdRj9UJFPIqR4WxUb87uoS2x24klqqV+ySpvjW9bVcddnebp7EARRsvwa3L1cgb4OjBm8eO
mmu15lrNhmGBCcP6tHzMwtHA7NIZwKBGVdqdSijl4dIhBAGVj7AfhjJojmUcTptCOTtEJrdKw1yv
N85DYaVg1ShlpeQoz4S100d8+jz/aMtoWV/YlqZtMGEsIxxGTamtvXxWQ3kX0lMI0FPI5HHN7mRp
4M5G9FhpZDLkFa4NTYd/4/Z6sIkbUuRtq24Y+LJVyrBUOe5KTaFcNUM0LKLasndulhLFgBwTp5hO
TGtdPc3reAQ0aHv5+d1efVYY2lA1hfh/8/LIADrZ2r2JLd7oJVwdpr2GZ+J6wfzdFE/VJPbMB3YO
S5NHlYTuPtFwBGqtOWIAbHd0xxeybIqlslpIdon+nfnhL6Xx7JPRK+i+64egd/YyGC+VFNp1SOsL
8xoueY1HZMF8znOxTC07fslDzXwpsWCsZFLRyTDu2ls+EvsqtDxn0TowbBFPLTX8+g7pVPOyYDYS
TinuBA7pRogt90rH448U8yszPYelGVCSBb2+Jbul+0lGJU+aCilbBtNGHTU+2HGRzf4jkywV/yZC
v1xDZvtlR0z8+sg/yUg98wJtCzaWTBG9u5ghfadj0GcQ/UtOcISxITL6KXKOaq1HB1VJUBBa56yr
2quXU1OntyTOcfmM/C3Qs9NDOlyuBBATZDzG9Do+wFgt+SS5nH0Y3tCVFjGKTNhatNG2nGBP4HUE
r1h2Wz77b0OrHgo9CJ4SW0fBM/TnYZTvNVa5pWvGLzpL3RUkhn6L3O5i1/EDYCWJC3O4ekV9HdjB
1VZsbY24uvR+m65UlFwTjD25mK56gHSzZ4RVuii5A9zrRJGHeFTbQ5nCUSWKQ4NPlW5wz87ZFtFY
ntQgX4baAYzB7ytdNoEJCOsswho9dfY1jYo7w1Ckr7vjIRcRmV9OcW6M7EMlZYAJSs8WQ0lISZp9
2X377fnxXL5ppBijVzkHpe/yQNRrlgb4LR13G4dgMlujBhhgYOEOkLgFafzFfmNaAe9uV3VqPfYq
/WlbrnsNk655ECNJlWs9l/eam/944Do2/kxPBBIboRYK2n0OWnGIAZ5j1z7pM3WRppJBEHW45gQb
AuGvBYBG0PjaDg8B4usQhVA6C6Gg2BVAdGE7yszN7zxwj1VQ4vBBLTY4jbXyZyakn1GysXIzTtZM
jOx0tohwQrGOYiRcEPDXI/gaeZLWuZ+Zk85MnyTEIz+KmUg5qM4+AWKYHpRNWD2jqqdIm1AhzSxL
jUKUJVYpdp5bIhObmZd8iPA+2Q8iwaU/mbig0BOAyLRSB32pjuBvUYV0KEBPRAJQE7SmGKAKg9r0
4p62CtjxErxSBM0fL36St9oNnTQJvxA7dbrMuSexAJosJ5ie0wz39KF8tjPu04H7yQzMOtozCpTj
7SWjoY+GstMX+QwMNX9nh2a1HZNdPr1Bwfl20BV6cEYla982sL+jpuHwRETeNNO6mNGkduzhbdBv
pFWhBNfH8jwqcXTc7m1sJXi0KjYf4F2iAcrqgZYdr+IiDTuNpa/JRGQMgShzL/m11SxIw+P4iqGo
Av7SfjyS1x/jpOw+kxm36vPBZ0TwZbIlXBJieNU4ZEsIrWNRL4YZ2QrvAgU7AQzJyXPtb3dGuyo7
PEpYr3WBt3SGv0oF6CFPm/5O9/jjo49AZA25iYnHRZOawZKclJm/X3H9f6sdYqvzX9Zl/1F9fP9b
VfbHl/yjKpNUUY4tdYSougVZmLLoHzgm/TebPbDuEL8EsEn9JbOJ2EjHti1HKShO/1qUqd9cHTMR
Jh9TzRXb36IxISD+a1HG8uovmU3GXLR9fdzCzK//1/8Q/1OFcY9LqMHoX8CZLjH4LOihIKUwwp9v
cYIHoBLpg3noup5RQK2ek1bx73QL4HO9LbK1g4N5CA6hi9rfJIDJlRKMryGIJ6rVyZXRzretNydT
l7aO18Lv32hdV6abn3ywPisvdxAks4TuyArZ9tGvOGufTMu9ovVAtgi6n4SAszSrTTBD/Xvo/kZm
52tSVb2VawpvT9dxKAPW+3W29enhCV6A+GNg5mzIDWgG4jo0ggRcTSPBtCyfEtmPazx3JBen6Yk+
9DiRQ1AVPmOVzt5G9MCYRpc2iQXJHF2QNsXVm8MMVJnjkSTfgHHri5wDD1xRfYMx5zadwxC0ORZB
Ix+hlAQljFHwzspg63PMJiQpDIXzKuj0ARM+EXHyyDBjH3Ft1RURDL6h/dhkMrQt0YrFDIKJyGtI
ij5e226OItCeEZ+kOgh+Tlorm9+fwAdNIdIiAWIgCaIgEYIIS+aifXQ1yYqoMlpVNkSLrqTvG8iT
SMmViAbi7ciZAG1Fwsyg/eiluvhx+0WcEm0svpWAjIp80K8JmRUGpma3p2cn1HAbqllzZUqUj/KD
XPJzO5IEk6VHVXUU6gRiOCRjhCRkpCRlIGhE+WW1YNvtl4BfPvw9VIN0jR5jQmlAOcC5UgN/X5D1
SuHY/miO521zEjpIt4C+QmaHCCywW8m6LGgFpuEHRw7R4IiSyPpwyfywyP7o0OoEtvis8vFhzNA1
8N58S9JC0rh/t+b4EDQK2JJIFIEkOSyzADS7Q9pI4027LOzfxjmGxO9iDYJK94yXM2GNCgagG0qA
xda6YKGYkWbSN8lWKn5e4fo/veELdG5EnxAmeBzsHIhWQCyKWaflPiMpxYUMedAy+9pkFLnIpg/k
5diACptTPOQfgwe2ovEoYIDy9mvE7ESXx9XP5JhkYWBSsVpMrBCzl0ox7gmq7jMXePYS3lGFqRBS
CRkvPLnd2EevvY7AOZKNSdJu+kvUzVNv9OLOldot9Fmn1L42srwtm5UG1X/FJcDnSTM6fkF06bfe
Eo8jyz+WGPo2jKrPygd0aZAFyvsJ8MCwiaQNDoFobwRugmZ1UmTZkLZYq4xfTP3Wv/8mY4AWV86l
Jm8INNzEXLUe+iu24JPGMAczOOAOPR4gLhWvnWo/J1X+xIO+i5G0LrSgQsiHssdv4VF4/VYysQv4
7qu0S65jkOVLxj7E0orhXqjCOJSWgVvLJxWqYEcMbY49XZDjCps5FDVUJi2qUCrrF0rDvdniHMMo
geroZFrdwUwT1s/FG0HwYDBmDo1Eo9NtQe+ihjfVC+6+aKHsYu031CyStA+X1QXmRof4Eok7fHIL
7cjxyfCkLXZTVGuLKOjHVeMHP3GJJKAc822Xpy8gm5CwIOqWbsavyY+N5hh7oyWYHM1ltwVyQ3UQ
a4r4KR8swu4Bn5R58mEG487tKXvo6zJeFtbYRhuE665Nf9FlwIGevr0m3E98dCi5kLrbfr0qtOIu
05hRmTBgPB+J84gLTO+HS5mx4ZJNvWOsdO0GQ9/0ZX0qG7pmvWZp4N5Pen9PzUuYBM1DOeUHupNw
Q7TdxUShGY/1NtHyp9AfD8MQUde2u7LOHKwH9sZEeM+gKE9XnTE+SQScbGNHc6slZbm3DRJ7Na24
OZkxbTvB4TAkeA3zntUTenRoZ4l/SDKr2Je692hZHWkbFUBPTTCi9JKpYJiV3Yq4rGjbBTv1+JLp
iAX1VOkrfxgNRJV5Bts7BE3Qdoi5jOzVq4gQgnHCq6VWKeZSkBZYXX3FNg+BZLyXevolK/FCeggA
N6/65XlOySqgD3ep3noQ2TIK2LADswVrDRNny0yO+IlVQum87kzQ2DlPvR3KTZriJ4jas5t4J7b+
gLpL9pNBfdC8fF8puU5qeZIh5WWKlZ04AZBcE+yUDBH2VpLWO4Xt2zi44THIWVulQb10ZtiZkPFP
bPgvekH7yYfybgyMijxBFhjdgAGzorHkAj0643CqMZ4otpu6hSRCb5C7NqL9cWBSLMrKYsztY4VX
7hpFHslrpXvWZf4IxwI8jM5KIEgII1SaPawcZBxB3Rhktblip6pPVm9cx2yJfHzQxLNMVJx661+S
wLXewoAusIUo2oyGvisa/0Nwnq/x5SKSNXUNDgvokCxK4OV1Ovl6KC66zl3FBR6EnBY6IzwaJETV
vZWtvLdEGK0npV+RNEraWIRfbcjoc6j8edhuc8J0Q5E/ZA1nUcKZcAjtiEE0fsgnQFhUCY0wnmYU
Kvip4HXE4h8NzrgqlL5sXXwu7WwPdp1qerJtNui0ttamCynSMzN/05PsCX9Vx2Ez/1StlhsnXXDu
WKCgNo7ORBXPCxkdaFv9uhGLkg/sHmvKK/Cdfa33L+hjq10Tho+keiOJMRHTpIKJOu9adrN8nfPK
LfaFi3nVqrIXmcZM0+Ua3ve1LrqdlhgpX2WToqf3ZBOD8uZAijsmYmTlNRYyb8wi6b3bFw4W2qRY
2h1qnwE24d2EjnozybYE+YU44Zm/r29tPKKHNoYl2bL1AJAQVSK32Yt+dNeSOc6UFJ9Drp/1Brtj
h5wjmeNo/aLH9FszNpJzlrgffLYGCr5itDHLsfoRrGiSwfFWtp4ma4NsqUPF1n6Z+fkPn4xqHWtk
siE6tjfC4XVIu+CXAVmcNRZpzjnuQyLe4EUTS5OvY2pe0qSCF5WyborLvtpEQea+E//1ogXGtk8L
aysFGyvWCPJxVK724auu+mWwhnwdoA9lXZfuSorEtdeMmwoL3CrNOTmJroQrza58HSecbTrq97WG
A2MpmItLkoLtgxxmhFbbypc271GFRpaRsY0RH5Hj7aSj7hrd20rLfai8mowhy901DSk2fdnt075t
dtPUsSWJwHylZHWZLO0YuyDjGKmEbR+LX9C8Ctd51xqRrE0uo3OUVl+4oM2lhZBqqRUkaxuteTRU
99SMA/Yzu+hXWkJMqgWhfPKQJCDxulPJ8BpC8kfMycdTTRFqcs8ASBNmaJUY/UUOdWgHLuwhL4Ui
RSOdvmu3fC0p/xY+9o+D5yJ5mYqLaLvN0Dpn9FFbU3UPinUJEy5r2YSAuiSfEavtXoZiOMZG2/PE
QnlC7rqsRI0iTU+fgZtBY5fNuLWJEtozNDGfm6G1FhjMSlwC2OCs0o02Vc2zRhp28kT7FqRM9FyA
edbA4LamDDVc9LqZ+RZ1vXYEp3Xp8rJ5c7T+W43tu+T8KxFyLvoGRwGOHEpHzwCrpRBmrLtGB0PU
W8fSwzkjh+7RFNHaSRiqMvry1n3QXgmsPAk92dPWRK8DC19u8snCzN85x6GX9zp5HrsB/vGiMnKN
9VW/y9z2qqz6m+URgqmIu2tytAu5VjFMBXluA3k3FaRI2yonk0ToAwIQgsYb3byFLhqLuMTBVMmG
sQ2aef5WSL+nArt+v0l8yneFC5QYtvkyI6zbQQE/jluLK0brOm2LY29l9auodj+8oloZ9nwGhewJ
29DWl8RlEUUFlmmdjwWmYRdfYhLQbuhsJW3qcEObQAA1BW5UCa3F+OJpv8eO9iwkkhbZ+Uxyxdww
db9EorFwNqdxZWUUNr0rskXlm/eszS9xTjhvXGwyDh9mMkaykcrmys7r+zHnKMtxuKPNKdn+oS5b
tWV4dYqKKV403Sabjb2DrWMhJuZOsQ9KNCdRQYOOv9Di+oA1kgBVo3txJ9PEgyXw0g9xAvsaeQ+g
7ol3jAhz1hkXi4ADlkz4v5jLR9yamcFlp7Gziut1rVGgDmbBuLJx78JsnuPUDs8WZdhyGL3nXGbF
Slbh639PPP6p2DUtNe9m/otNFLRBTDkf2b+NPf74uj9Fu4YrUMUK09Zd05ZMN/4x9oAnjTiOogGg
tCEwoPyfZZTzG1Y8CzQ19Z786zLK/o3llYRbLdFjKQc/19+gUNvO/51VLZALK+uP72fP9rB/nXsA
xaKG8JwYLE9sYEgYSDXN3cdaNgNdIwzLuf8kc+nDNYJfZYCc1lQF9jxqdnyhR4PibOuG3gtNOAdf
jyzFdMfnpnGweY/kZnLfHYEh1evA0TZA4acVZiRtQ+bpgLWayGsQgQJX6pCv+qm6pgGyOT8Oz5oa
KTNSAdi2VJ9J6p6yGjFYZzPMyE0mGZqD5swv2TGnhtCOfZYeJHq+TafSx6oqHmQ67EXmHYeug4g3
gsoA+Osk7pbJ4znuKlSOoJhwjoOvdRDIwQJDMke7my5U5u6GsUHoab7mVhAs1ZANeyWrXTzYT3os
1lUnjpXNIgfRAyN7AFehYYJEZZcPtDjZFDXLGX94oirewvX9TIWxnykuuoyY3Q5q2JVcStd+Iiiu
dDyGkZZ9x654r8oTV/93Wzgt8MJkh6Ph2/OM6wAo827E108GsdbvlIFABib3E1o9zK7W3Nn7/gaT
ZLnKZcC8JyDndii0k0yKe8XQuDH1bO0GTk0isL3EW36UhAjIAMWNIZd5A/sqdrhiHCI6IaG9283k
L6fW0FeNN/4qQ0HARgS3wUjNX3rDpCDAFRfl4inOGKMHSUBhOjECHsw3YmNeK734Cgbx4FgIBKaC
aX3pZp9VXx+cLPsoh+TNJ5CUu4lECXDCM/Rpb5MTCE/N2WVJRZS51ezyLN8ycvvUlVezB4kvhSGu
AR5EdobMhNrZLm/O2cYFRVjMxGNN/swbwN1dgdWfEuzZ88thM5rRvpL9Q4hrA85g8ZkGUiyK3nw0
dBB+9lSmqMn1bY+wBfkEQq+RvxDa9OsUsMGpaJhGMm2yWKBT8Zl8db1XrqGs0uIbzjFqoteAPxYW
fxR1ZeFXK7OtP6Hgkao0+KjIlLELnAL5npkdC0Q/V9GQvIPBCk9c2XCYT03/4ZaBvdTJZlx7LD9m
jNISjx1kWUd/a8GP0lpz9RkTmTdaSQedqWEbQcJYRBJtmyUAdRHYtoD3SIrMYN6bRdOfzNgrdkYb
f7uNeGjy4Bhg3tvBaj0YJeb6znPd/TBRMjilc5/qYLynMZDL1K/BU84g2s76MLKgWo22BrO4018U
RLRlgIYH8UparCbgwk+9GXxpKdk+VeC7exkVh9wGUjcZ9U5zSTqxs97Yeo1dbPU0PhEtCZ6iHz/Y
tOyAHjFFStVTD+aA8CtCxwJt3LPZxbspIOlN1Ra37zM0pWBtmcg14f667L2RR9qiQ4vVflj1uEum
KDhZQicaUpt59914K020eS0zsV2odKDKJIoi3S8+m9i/MMm8M/3RuhsM+QGT5tBnwxs8U5AiYw5e
Qkh7mwVmfABEeyym8OgS88hrzxnStiRUGgWoQ61DyxU+m8D1SBFTq4ROMe6rsz8ZwAcqSEUN+bZa
UcGBiHS5Ur3+BTDjjK4FmycRH2NWX3X0cUt/KH4F0oZInrlrZfjPaee9a5W5dc1CX+mapZa5lsAT
Ck4sVm9OaNtbVdGPR6X27Q+i32SmDxLys5iqNdM/vAXM8Lwo9VYkJBCwyu/lxYRZFuMF8vq6zOQ6
UM4KB+bZ7TjHhNtuCPyjlmr9N9HhUhT29IDK95BZY32stBydlYVz3sb6RzFTrx0182mHmpnlhPI7
T5qb5Wh4z3rzEobGfZLV+9kBUVXTuZruZTfCMzEuvuthdursi82JSy0LXzjERlcUIeHcglMmG+YY
14Zdj5v3uPD66NPqEfjbQ/HC2AKtdS7gzzKyxV3yIvygW4eu9ibj5sOQ/qEXkOdhVCwZCn+TU/nC
h5u3Vvd5h3hF7cwC7Bzdu3W6drrahi43Et09upt2QhHe5TW6oLr7Pa4Djs5I75FUBrMSKdg9C+R6
cfHYmZAohNqCE8bnBjo/cwvCQmV5Hav4FqBz2DbKePaH/FhZkoPRe2Xgn63aGYY/ZOX7CCBsGRT2
U4mYGHEmaJJUXOoo/6gMZOaNXzxHko0AMtd108cGP0jwyLCw2bqTd5p0izzdUu/XhumMz5qyceAz
q107LN2WmbRo6P1sUxVqPVAXkvZg8WvIYtjFNMuI9g1ml4h3l6IJrrzENuhjhWuwQzaDeTFE3KDi
fJ8jZhjVTx6gHO8D+zjlwd2YUic75KJ49vhrNAWIKjtZQiomaiFpTqkiLcB3D4BELlLTMUPbNj7L
CO1JgpI51x+kmo5BLG6iKbg+4uFi5PqxVjxQ17AN0mHcC2OtS2DoD8Sv1CTOtVe7H77bOnxMavRa
VUSaj6SqrsgNaiKrmvPaP7oo/K4S+pW8NZeNVe4a5CVzKNOGVKgL7Kw1K4B3a5gZwgn9gr23UQoL
TB96jWy4skuulG76pRvFvdP0RzVbI2jcb6IciANu0nvLDO7JSUUbkfB/gSF95i5nYF1p626UA617
f/QKkk/9kYGj2lvetIqz8NarDMQSxKNN2TVnmY8AxFX1lqj0PiP7bWF03pObA5/s/XuLckWJfk2C
9a2bmm/ELHdyQnY/+SNI7H4Hn+KSaMRTjxN7VsTBi3J0XlotXRs04MYEnbQ2htfM809C4ynWsgQJ
46DXC+8nomhj19wk82AimRr4PDFEfqBQxhOUOuKlow5faP+WAO+uSvshgHOXu83BClnMJ/kcXYG8
NgqPRuTf2jxm81C/J6F/Tlp5V5TxSthgm2jU93EjdqBFV80YvMauc9Db8oSS+H4MjUveGCtmP+9p
YNy7mXeOTDIPo7ZYTHZwAjl7DDo8Yy3aE7cwyo0vyw+4PI9BI1dR2wM3ZoLoe9kPOUJ3wjZOXqpe
2WAxN8avX3TF0SibdC2Bwi3rqd+OqnqScYt4I1ENglBb+5pm6qY9Efrlx7iZl5Yq7ryx0jeRF05r
K+0pDQDkBl7xOBKkuTB6yBRuOm4peW4BW0qY1w6fMvRGILBN6qg2XOptsiFRZE1cmrMA0PdAYOlF
aDnzV+6PTFzIj6COHIcnYoDeFUob3JMtwd3ND57Xpax8exFY6cEfmvMkYFdFxq6KQyS29TIx0V5J
56ii4BbBoRqyaVzX+FrC2nzDIp3g3YwebZlcjMm9oPP9Msv4Pa88cRxCeTDSdl8M4tIM4XB1+iJf
pRZzJs4UlJc4yBm1i60sB5QswbvWyS9g8jtfpDW4ufF+CJiDFijDV27YP6BDRrSasRHTIKdqZvtK
nuVen7xLO9AdhyQrRT6rH6VTPiQMLGcVbd+47yPic6BgrcPG1G/RZOFVXuS10x3xjlxqe/zKQ/Mb
hTgjnNG7DTWY+4J9/pIbHSUn9avUsNohJ1kGJRwxJ0I9nhBocEcG97hB+xFio8Ox3DrbKBQnpXMD
ZGLvTeOwHigKw0GvNpWH1rNzLhq5cJlgtqugl2zsHjuFPrXbrna+RaLA9U9uuzaSJlh5Mc7spvRm
dJ+PkBtL3gaPoLkc/IQfjKCCRag67Ny5/p7YyIcypm1LU3obO0KYwvbvJP0JfbdGBDY7x8BwLh4S
eCjC1qVm0u2jbektKsz2d7cd2AEtRnmqYdM4/Her/merrktJZ/uft+pbwCbN9G99+h9f9KdoVOpU
OM4sHLUEUoQ/+3Rst9IGisA/ITkwrL/oE4Rl/Au1lC/6p2gUnikuXdijjgMk5W9iTawZkPKvolFd
zZAU1KxCkVclHfPfRKOTG2fMK9wAKbv3aypHLPExFTKqOCJz8Oyjk2tb+9nnFNWQxR7qXgSHeCj0
R+WYyTfJ3OneMYHuMZjN+bjm9Dx5j9lQb02TNoWwYiacyRpbqQVf243X43wwkXj8EY3VC6LWc6FJ
+xhazFuNtH41woiNvKK9SUSNZSPSDGojcpAc5U8sfFCgdSHpKj0zP+ZOrFDQRZlCvHuhGEh2LR6q
SPOZ4lGoF8LEreCNsBqZAUcBfj5G0HPQiv6Ip3Pa9SRMAE0ZQFb616Q1ryZIZ4mYPEmpvRPT3LOl
vu+q+VCYwJE4Bg7UPIcS2EBhWek+wzc7BmGglT/E69wHpjluyqjfmTwnbpvmzfKoHXuDkWU73fQp
PCOAAOTZojADW8/KVy7biqK7jG/JFB+nIr+YTv6d2OCNGGhwrKlsn9ckEnB8LkByY/0KyxLnPHN3
15g9wTrw0RaVg8FzbRRyCfR7Y5OfEfPS74jXgkAw+H/yuyrSGF7aPNMGs0ErUqyErjkLlqyv9aju
3SF7nDhEw6y5j3Hl00J3j/Yc5hfIfpHU2RUn8jnmTmY7EpzNwoMA1+xo+I6aRjtWSO8haREYD+kN
COm+JkxHz1u1hxsVb7socdnm5K+N5WwM175lolgnw/jR5iwck/4HKvCDUQZvrQ+b3q4TdkW5fppA
UizaWReahs19n4zfCRYXJpR2zDVQP5ASai1kaq00M9s3hXdfIzxYJXV0NnTvmU0QliRneoEpskjI
SuVVgN7Sh6u2Ec9JZX+OjfU8TOM2M7B9CPs4Vs172albbQsGtq31q2zsl1xnTjTDxZlzr1vM0OwK
hm6B1vEh6flcGMYzuaC4O/RsZWcDWtW+hwZWaJ/aNN0Ki0+zKgf8M+ReiLz6NklRAcrBM2N4vnd1
RrGjpR3agWwctxSPMbhS/O2ISeHcLUVZvIFAX0dmD+AuRc/rkpPtabBplFY8cOt2i9LsjtKi8NO1
4h1bwzJUdb+ohvKgWV22TDVgLGn4nciOTNYsuI8Cx6J+jDaTaVVEEUzPvRov7BW/iiR806bqPuW/
dw1Ab9gy+NQ69jITDnp8gNp9aRqAvsmnYcyW3ep4jAHZEo2REK4mLRwitn8qkdXe6UVnU5lClbxO
Y8wKZYy+kTu/TR5zClJCVxo0laNmYM11A64zJj88AChc9OXN1VWxerDqXLvVxF0Tie7d6LrYKGWt
eo6SakAWWtxwTO0iA/Gx7rE+sLJTDybe4uAhwfydUox4FaQsIngH+kO32YrkVCftwXDUvsi9W+lq
nwMwuwWmv7tCxfr/Zu9MliM3sij7K/0DkGEetjFHMIJkcEgOGxiZZGIGHIBjcHx9H1epqiWZdZlp
2cOySpZSZjKAcH/v3nMOgRCKFJJKd6zEnPXkD7pQTPtG+lZ518flXTp3uwmjSh3iKADJJ3OcQ113
MBwSQq0EBmrpvw3UAmY+HYuh+p67cRfP9XMrdVkHOdcmCkuinaPFKLMMH0k7JGueLHtbECjEh60r
vQhVUsNlIsjSEIzpm6z8A94eBGdZfR7KDhfW7CvMKF55amz4fkPywQ0F8iNOr6I3AOwQnOTt06+8
yv+oKQ3i9rnnz7fmNXhwnOau6Tn+d+LInHNYT1HxHg6ASPnoO2F/lZ17m5nzKVNgbTrlfeSB3rFq
UOboc9Fik7wlHTtRw+/O4GP2bVIb68CgT+Sa7yE8WY+E78/EJ+LFEImiIsda1yjvWImwcEpNcV8U
koeycN9n0a2nwWBsGVZ8mnlieOPlPwxWwGUV+BsyCOcacYtIylecliYdRgy9JtXFKzy+YWdZNGNm
Nmcs1s5RF03bYDBwWpnZIfMFn7a6WGJc5ZqDM+yKqKMXmofOcxOoz9azbwFtMSF2c7GBd1Ee6aSn
e0j1HVkC+zsRmbEPjXDc+ePcP8deXZ58YWIC7gBtU80ETjOIPcLYFxxAclvlwbW3XYJedgUhqXyg
pe5Xl8FkEEpnmaHQbTIUR0tf/BcrAEXdbJ2xFlfB/4tMJLsTQfeIuoNqa3QHI5pFbiDUQzCHF1qZ
3yCT/YfO7Q9Tw1Key/3F7Nqdb/ivght92bc3icnfa6qSneRKTPx+zJiYzA9LLi4B1BbXmgkQLNNq
LJ3gMIZy5+XGzzFIX41WUshv94xwVihd6Opn9i1/uRflAHHMq0OQkrsRbv/DnpVJlYJiIgEoEtqK
z73F6vGii/ahmoaHeijFxfETXMTIUg+zEPpqE60nBnMXo4Ycmwp1ATdaHzm8f6qIteMyJfdjz2iE
Hh2fDJtTQzI+FgldjZbXdh6gymrqhJVZl68oA5/jyHkueVWKkZrI0ptnqsLeXeQvyz7GAEAqyTn5
rnlDZKlEClR+80l0bysbLERNtiRNae8u1jOSM5TNVncpnfwa5HG0q/hbPpYgzkmjddOD7VtyV0mJ
B6t5wOt8dbPouw3kTZN8KBgiDNDOrNirlUqY1NuFtTb8llGq3QU8TByq2GOunZrSfdtFmgxU7ssR
tuhUM6GabYRonXgrsvwiE0ktIpQHx20BcGdEowa6AeupFzxBBFeo1Zlb35EthG8qqCFCrDSk4pzK
7JynCF3IiDw6E3grx7Ivfu3VXD/tc+OPR8FxgVp3ENFJ9saV50IVMXoz2bssOzc5Dxa9D/afUGXv
uGJepxCk3NxBou+bLtuhAhvXmctQxxf9pmrdCna89SJ1KH+axXdHSj/VcX2lg/sJCX5g2mSmdaif
eirgFgYMWFX3XQWzIFcBBAuqAFk9J7eBRT3AFvDxnHr+6mkORG7yFugqQTQWaMvK8qOlZZBw1dwy
bllONg0EjnFng7/GxaG6VKqIJTUvQl/XFuTM9pweg6KWeAEHR7cBpAtbVuoOWWIwbaEBEc45kW/f
pXWiMffgLSxdl6jpTUBTWJdZfT9lS7WxaVYUAxMqPgqvEZ0L/ibuhQmWwaeNYdPKSG0x7Qu7JRxW
1C99i2RtosOROcNtoUsdMFDS54meR03fg1T6vgMQgP+EIYNnFfvYoHdJR8TTZZHc6/FxLM1nRifZ
0IUSOyJvVTQmRD+TukmX0aYsdAWFUGH1QIaE4XJtc+/TVZVZl1ZKXV8xdZHF0pWW/3/p+8+lj9D3
f02k40iTXSYX43bo+6+m+/W3+9+/fv0f9z+Pbazu5bncQXzbMlmE/i9bMJc4UutkEHUKnavZv7GW
wW8Aux3AG38Amf50//OJu3M3xDEcWPg2gn+EtWQo/7f7nxu5pMWpRpLjDU2WyX/d0wq2jo7Nsnat
RPRzXtq3WavKkhxHYV6ztFV4zKKqB4yM7LVr7tUIOqbDeFaaPEUY0Ph8DwS9IAPJ/JF7JgIerUub
xvSpw5+Wa5Fa7aY/Fq1W67RkrV5mdbDS/tADPTYkcZKJ7/WEs003pfc9pjZTK9sU3fSkEEdIOSDz
beeJrh3oGi16s/PwVPBdYTKSYceb7AP2jwFuuNDC82Kj4cDkY2y9pjy3hXfTa6Fc3nAPNHDMObjm
2rrAkxS8DSSxuGUyXwsYlmGncwL/xmk4NS/Cv7Xw17HfAp7DDnbhaEzYRq2thPWgGiAHMjVyt0PY
nxAJcS3TcjwqIcdW6/JIxBHfw6CntEpvgBzFEQi9Hjy5jR/KZ1Lm9C31yrGX1T7r6UHZAUAJi1Ol
D7phMwN933CvS1bDiM6PWhDrFQx/E6Y/KkZ4QHD/BWK+qij/SbuL5bCFHlAU7AwGjIFM+94jbRCM
cKBhFAyXAR8Qt6CO8Mi2pXEMWy+hZmmiIgwyp9gHCVFoJtWktRrb2HjkryT00QyXYUAKNNByQ4JB
R7aH/GZNwc6F8KufRHyPDMYBlUawS+VyL6EobQB2WesANR8xna7bOVgVR87mqwn4MG8qgZ1NZny8
SraKzWxVyCIWwvEA5pVVuQf0kwgMwqA4haZdHyJ3+kzc5kcGrZJWExiGPihbEH7ReKrdDg/JxHcg
A+YGDiqh05c2XAo2mVzvU62SLHvIQ5zQrqlNPjoPJmfdRZKGZPuW5ayKQOmgKgKU2OasDLqc9fGg
1ZU+DsugKOOj6APjYAOIAe8CUaKpkJaYw7nAgekOxrSParh6y/SkFtS1TTym+7ioTmh3LwLeV9FE
H3kC3Lql4xDM6orb4oNl1Ru8PODGaEDtUFEcpKkK92Pf+m7E3mMmk5hZ15Q9zk2rP+meCZw7NPNv
axpN6gXcJHhy+V7qoT9oWWjL2mAd1exSGLQnJw/TQVqFzEDCeueEyafwJ3snsHzGOM6ckN6UH/Tn
0dE9g+6W6PSXlS6/EOFuVQgCg1fWyndt9BMSbAJaQEDeOapOx8Ci1yR3S0jNv1EvvhPftODTGCTI
cOvabOfAgV0XBGWdRHFWtuCEpuSBxRUkJ0JwCFL5kioMn1Oz9WnNRFRRHD6nKUCwrAtv4tR3N9VS
wq+0mqMTJyRpZWtsEILTh6/8X2KsCajV8TdbLL7fGKLz1xutCCjeJ0N5Ltzh16LKnZvHFyb9sHBw
ZAxzfh4tj6BqVr8EohpvSNExmAKtBBx1ucjZeJUgV1ZTP9OULfGeWbdhmLEwrIDNKorVdk5YIqGx
14EpsQ0ydMC0nYGAhFNenNCUT8xf9iy/+VG09ZchCY4mSfOMojPa94TWNmmZIED0htt+EKjWmJet
2niSd71pv4CPezDw+XLYk2u/oUHKRDrnhIDf12zLi8ihDqXj8oMB8gB5zj4uoxHzvjXLgxLk1u3E
/ZUU1BQm2z5M3sg4O7RZ8pkTa5DOekfN+jamKaJAPvtpRPbM6viImDZnsXnoT12YzHt3LBauNRTh
op5/ecW1g5ePTM8hEXs3tcnbZ0WB6li+QcCkjFTbV3ZywSZJMuer6NvhVrh66dpYj33ovsu8eGUj
8I3PxSGoxosrhja0aizK4QE83r1ZRhyLOko51FhXBcYg3gXk1by8w9na01KR7aNtDv7OAfpwkM1w
v7hkxGd+87hu0ohIh5edlEjbbZt2CfMDjoJZzAnKwmx6NgZEPXnAUm2W6UmVtZb18GOWJQKmxAwf
Br9KNioe1nzfMaKBaZzg4s4L3kxUOei4xvy0Fcm7OJq+pPRey7r6FVSluWa9yaejIGM8IQ9p0p3g
C3CT1M4hGeDvdc1w5FO+HkKgns3wxSL0ZujJZhROeO5GmIXCfSwi79CRbIUKP37M0/ItMhrqdCS9
VWcEP9revBG9YUFPsr7m0hpIFE3LKp148THfJDvtFhcexJmNUMElZO4/wThrOTUnQj7f3pG06QPF
7/c5r2m662UOgtSBVUFEENrXwfRxLFmZh/VzLMQNdN6bIBnfFokqdxHtHufqzmIm68Pd49E4KJXT
XmU5hAegGSj+G3TOpvaAe2g7ji92OMMZ8snXtJ9hySgIt2JpZlwC+nCF42AvF3UgM0EUc3hBiLV3
TER7zowoPqtOBED4MoYKsMIDfhF8KyUeKj10MrBVXqqouRN0LzmaIMCk6M56NGYmB6UfFGzmepvc
iPdpFLLskRuv8B9Gm0JOsXD7nRukXb3kHjY50KEzdZCW2MQ1oa1Y3mRLsOtcaKV+vq0sijkiWhd2
ckcR99wPHeO7unod85E59ogSb3J2dXZVwyn2gb6ZXXzyPLqigNKUZ+yQ/n0tnDuCdKSgz1InhDW2
GqE5x+gs2tnlP6XDA7PcWilLw953XjmRxFuycHyXWlAdo+FXBsueuRnCzeXkmNF6rBOINcayDpht
hNMMCyylFG7OT2ZFPpRt6qXr4m9znnd9Gh1rW4dJrXknRtc/QFw1acSQX54744OBEdvV7ldr0Rvr
8xt/KLeJScKq5jWYSzyc7YFx8t0EI2ZImrsKFvHcDRwkjOUc1T5jJ0mII93Mlvjhi3qvXDr9RvaI
fGvTDgu/qCD3IYcztjyOjvOdP1cpI3QvXRuJQ20mGJm38YsS2aFD8W/H0LmtDO9mnO2La0nMpdU5
mAnTRw23nayevgsZIv9jAAc8IPE2UeExn4jjp64M0E/RFkBYuOmQfGcVjiOWhk2YXTpolTkqjMYi
kcFjtCqa4FfMbJmSiv3cWS5guMmK1lU93aYmk4CAX+RnyynLAEYzyL1wF30zbRa0ifkwEqanYdC9
1TMB8Tn3qD4t060WHOAKP8T86Ie5/DEnvNVNQhV4pgH2yF9dydZvwU5NnYlvl2XTNYgHYv+jcuWa
8eFaMYFbN850EnX+JBL/nEPLaFOvRYsLiqtiGpkkZ9dot4Uo3zBVgrdxnoyQfoqbwtVoxSEd6Fi5
iqRCAa9S3WGDo/LFSCMJbqyygaCXIP7i5E3fKs/pe1e3i9lQghCwTY1y/A7TwNh5i1or3DCSr1fH
M45ZA3HYk8zqpnJXRiQacNXHydTz1Nf3Ln6ZjEQ0mWdFGq0LrmMan8MaSHJoJL/MHil4yRwraiI+
rMWeBcW3jane8MhW5WPEa5Ofkx+Km64bHpuZk7HIbkNZ64IDBZoW8xitLMYvgE6DgAJAeowyzv2W
Pd+FVKymVl0DxR8nzaZ7xKBr9skkPpbw6tpVsMrcfF4VlYO3rEMsN1lAnFvPOi6FDVbB8FDLGHRU
86U7yWQUBxkpmucRz+9M3Y1A9JQXB+VXL75Nl8pOs1NPqcVb5nsaWz9GS6LNoAyJtGpfEi1vj5EE
OlXc23Ik9uNccnf8YQJ/oOKU/UozHvIFLElpuj+X2N55vJelxDGX1NXWm3jHoD439wRRUaogejnm
HRr5PkaEPuZMy9z7wfZ+OrJ/S6OOD7A1bioe0j1JBYDXtHiqkPOaO8d0cOPo4M1js58sDgFoyNZF
wHd2ELmv2aDpz9L8hPr0jHJQrZ2CD3MvqovCB12Pxbs5IYieMEXz4QaBP2YbPoqkvRkHIRG8bbBL
055jIp0hnAYGTyBGS6gR8d764XgKI/TUyFQ4oGllta/l1XEkrlADlk1fVgru9UD/TxfnXcPp2ZF/
O+5iPhcEpf75lOL/PFIRS2ELStD/fun8NJRS58P/Onb445f9MXaIfgvIhKCrsGmg02Pn3v/H2CH4
DU4RmKDAQraBU4OBxL/HDrCK2PWaIVthzwl+n1X8e+2MfBOKkRfQQeCfm+yR/0E83HJ07f1PrCKQ
o6Yd+PzX2JW7DHH1WvpPtXi/ZkadNhkwjN5ffvkzXquxLPOPRYWkLZbC3DSMQGiNtgv7yaCPD/TA
GA/6OKtXHoAXdQBlMa/LITPImHfGF0Jp3gO5Sj4mgUMo9IgzO3ltfHr9/MGtrn9clM3qRCjdsTbm
gc1IYtutd82wOdhc5lu6N2rpgaZTRlLGkU1DYf4wg2r+he5huK9ohFFRDqtkumHUBrzRriy72yyd
IYqd2TnzF+Wb2t+qTPWwNeM4neANkULbgJ2s39y0ijnEdjVegcmI+20NFSoi4TlWNza8EiLevkR5
TDpaFptlbrllgAMJifNYNcf7kosXBBr1jjgiMdD5aLlhpiJ1K2N/jA6lZPZeOXP1CGl2GXcdPoiz
WVn+C3cgG8TKCDmnb8PsHfqGfKC/U3IBz3pYSxgYnZ3i3huCcScfys2p4IfjoDyBGll5c0Fsqsu9
q+UPlHnTNmpHLnrN9NoWXfIVhTFfzmU9mO+Zq/h2heyc+vyrRhK/pkUg1zUT3oJWfJ92ipOIY94J
35U5KzEYPrlvxSTqWmu5SmgeT7S5o3Xq+0xYggB8GTEWqEpBVBnRnq0iiw0RLOIUwPZ7bwqmGFuC
3elb44fpUwa+iitGa8I8BLEH8LhMpX8nagfQfxZVZKWbKtkBOaj3i4m3gmB12a6VpcRzAm6w1IwV
cW6bFOQlSqx2xJzmGNec8cRT0UFyWEErVze5owPiNSuUx8KfneciYQUgJ0qS/3qH4f9Jvpv7fz0T
/4Pp833DWl0zIf72qNgMDkMeFxgXURDqvsdfH5VxGKZZDtwda5EXn+AwuXPBYXxse4/vxgCeOEUy
yPlHMiM9ouh6ORtx6DMXy6O73s+GjT0Y9dP/C29WN4CR9t/erEjUm+6vr9U/fs0fr1X7t9ACiK9f
gL9bhv94p1q/ubzOKNU4KBJg4ZOi+fc7VY9yTTP6ParzJ/abj5aYdDhNHDo3+h/+k/fp7ymiv7xP
3chxiOLzpuclDcX2b+9TFOUO2ZCK1CEc19XoW0+Gw74w1vwB2p9IR+lpg4Xi6eEsCakg1cyCEHjB
6LCmT63xuQVr4ASLu2Wkgm87Kl/nyKZzDxuj1DEVTqHsx87Kaj79MIZzzIhzNzhz+CJy5hFAvqn/
9tZEdtUNt7ZBZMfxzJ8jQFDaBQAO+YiD9CrGp95teOzg0W1xId+NIf/LGUxuIna1wbLUb5Tlcr8f
l3DXOuG06xeRroLKCx9QPVJhYOBBqLz9KAKijhjPVszXv71FZpyhuZ25eOmaisFoDI2pHnSxGlUF
9sO8bE5zM3IQnxNY+WZ28sLiLvAhSVjNTZhL4n15eC+s5FtxtMS5m11o5/3km2fZsd7herC4e5dW
eWIXW5ZiN87IoW6gd9Fw5zSG5qTIo25zKz6kyn0YvOyxTJz1skCc5UZ062dZsvO4RBQUVE7J4lEN
4ryu6vbFLlyKnEiddl1V3vkwSB2zvm/4Ax/yrlcA8pqHxS1o6pW8kkfysitU9qcocU555b5P5G34
g1NbTvu3ZAlWpsXUqBY1rdjkl5GDnSqGgh5I7V1bZi8bvnvWSZvxddY/N715X89cs/1xS0cbIDoW
xB0NJdqPibMzRaI7INxT4NbdBQHJcyu0A4IKtVwnVuOcej0Iw9ly5xbiGRmq3JR2lQEt8YCsRt2x
MuRPO+YdbpeM1GNZHygTIV6fvO8EAdMaN9Ou1Nl1kraoV1L+hN2SEtl0HBS7MVCO2maNAJDApobB
pbpa7urWv0Pvc2FodGdJYmpVTYZ0kHysR75omSg4JEwC+72zJSv1HOS6phuaRnxSRvM5dAS1Km+X
essPo/MOvZVnR3+Ifraj5m5705GGk7MF3e3xTc6H0LGLz2oci3Vcua+iYmlfYECtY2kRJXJfDb/c
s019Lxd7z1KDoWRNKbuEEWbO/IVFU/JLFMnLhOdv7Q3LgRz1xDQwujY1athBWDdYulNoH8a5QFAD
JZ+hU+E++VAYVz2DI9/kyJ2qhchWTPIsrMkZl7poYDSHOe8jhlHsiH1YiQmgQCNXBF2neOeUQ79p
WsLTkXHv04oFVYnugmd5G9FQjgQV7oL7uhj23MOhnZVku6nvTloudjG4fq3ZlT61dHxWknwUTdH2
PpW4KxI+ggM2X79qTkbZwDNQB8cDVNQapMIzWmG9+LDz+cGzxQ4j2NmK2pMUKYmHIOMW78fbNmRw
EZgduhi733EceWt6NAlecJp9RlJ22t/aHkySahG7whvfURUjrFKciKoyeRLtm59aXFWI+9l9+2So
/rPPAWTErFoJVi37anE3zDaO9JuXbdQaLzWxQz3tW3z7kSqRgHlMHBmJxdquKBnHsFnY9Ri8wsS9
h1GJN225qj11NcQASS7ZxaGz91L1Xnb6PzHAjly0EDQPKQ9TkckysWOhwLCH9z6bov5Zom7Dzr4W
sE9MkjHr0TUuYTQ80nHfBMhkp6jZKI3Bq/kkucokU80PaVhQpvdMKbvCoT+F0WCy2lcEKPPaqJgY
ak8E2YvonHfOCSz63aCOamH/W7gZr8Fxfm5ppvMJKEipwYTf1ZP4KVP3MvA+34glOboWV1eya9ey
XN5llyPd8ObNkhfnqs43Qlb305TtKgNyZMdL1R+J15Dmr82gXxV5AiGuVfnBoA2yCqdC7q1UHqVC
iJAlDkME1+SADrsuleFauATZhMfSQLhfRMMg7eIGq3o0CLgyB975E4OIEtpEmY6H1Jvp08TUMPKW
sag3w5vhOLZtARjsYkNtsnDY98lE69LKdwV1aZ7h8rn1y/IwpyyrugWNyZI0fODGF6y0PXtC1d0E
9AePSelMx57Y0ihmAMqqeU9h1224sg6gnpKPwpEpAAZvRwHrhtES3xLOMQUeDF5JvbYAJTY2pira
tWpV9QQhHZnfYq+jtN9tS9P72TiqWguv5to9pFxDcvuHW6ivYKb+7ge8oRjZ3y51TEwkapAIhDC2
Gtg664QEasAITroMtW2yMEQuyZ1O53ECU0TOdoAeX4O+Dk8Y7A+9l10jIxlOBbQc/m7AVAkbkrSw
ZzooPIXlwI9+Gsw3zvOHKsMSGlQJESxUOBe/W5x9mXbO7eD2uNdqyg+sQMITnEZ2mzJBN2KnzKYS
qJ9xD7umpsIfecT8JkQC1DpT+F7TrLbBUtdnmh8AldIbW/qPHmAmxqzdgWG7ui8T6BPF1Nxl5VQf
agmogrXiZaYNsYLhkGx5vWICl+jMgu+wYfMg9bKCIxPi1K76CCLdTTfNcZ+nxMyMUneJc19RlMmo
Y2UAYkxVTNfJAlzFzYt3Er3FNNzmZf/WUv/gZJxf0ri7TQM4/14JU6UP+MgtxKrY8QybAtx1VtQ5
Q7MoOihzOoANRwurgOu3KVN9M6Zu5Fk1+aYw3qqadoZNrXCcKfXjrIzWNgDvX1mF2y9CBJyb5fr3
ahhnpDvu0q+UXk9ZZz+2gbjmjTyUg9wlgaQVq9oTVrnuPC9G92yCY6i6+dSEfbefY3MzERdaAQef
12zF9w5EospOPpcmY48x+O5ahMHNlPMv6pW/kxnvsdpVb0MVFEdp+IeiT2pwHB6fM3uiXF1l+SFv
5WcxRTEuGXamo8qPkc1FYUDwtnLEdB/OTIp48oiMOofQXhiAZfTzRpfN/dj2bJKc9FLHLRjGegHq
GObvZsMo1sh4qvNbv4EpwxVV0NA2x9eEKdSq62uWqlXECz0Fy+Ci++hJxw3Xhg/fFBb+ueEbYe0V
Jck4J4nXaV5e07K/NDNjya68VYKO3mgV1FiCha04iW6DOvy6qaHc9NHArDzHdePxm4JJ4KwdW/7E
3HdksXjhVnwUBsVr9p/7xWEPX0HbTz11UYbDK9nQQoZI8ccKoOaAmxp9TiUxPpUzp72bEDKR7uIh
K/JSCK3Bzl6C4AFyx3zkY+rvB1OdR08lp2GJSeFWV8Pn1TWJ4tEzYCIJdphyenHr7qvEv8MCxP6A
nSBIfmIIbSamqdlo3Y+yaPHSlAscOvUCkpO9ITVyg6pIXuf7GL3EDXHyg4FNGAAVnHIvjOdtMDdf
A8Qgy/8E1Wbr+YiObYE31XAhiUVhFWvgUNMix1k0g6gkz6KhRIsFnqiGU6RSb09hqVh5cv4G/FFt
oYpr4kV7DrvsyPfypYN61OF/WDHYPnjhyBhQo5GSLgDQQSa76GMAOFgdNEYJEn+vv/TWs0YsKVhL
Dk2USsOXoonxbaiBTAJmGfnV5KmC1dR79jaX7bGD4eRxcoo11Gk2jMvS9Lc1tKfB7rDPM0/vhu7s
kTjcUroueDhYAKYaF+VpcNQIMWhdNWYMQpUa8lBk3SaDNCU0copD5IsFgyoNW7KV6Ho2QgOq4oXy
QEVBJqU+bGcESjOnfvXo0xJub2BNadSVAcx6Sw3J3EAPBoRlEhotnbMlZQf7STyQDxZ76NLJdlKu
v81Ck8opbK1CQ7ZCjdsyI8Bbkwh2JNL7h66ImUgb47I3NajLGCYyiqC7PA3xYs8frwdHPXuTRFQm
UNd4ML+yCg6vnUwHKehjQwUTNa8L3DNTnj7x6bxzxiHbZUV7ymU8sfKNzo6lrmTur7XZ/xCaPEYj
YJhBkVkwySwG579f4BZoZTPUsoG8EQ85WY4GohnUrbMP4awm7QMl12jXEfSzKLG/SsM6DlDROrhJ
206D0jqNTJsJmGvTxYES00criLXU8NU8QFEuvDUV2s862uYx5CDHR5xlyeDpWBrT1mpgW8RaGaDZ
CwvzfSFrluJN/MUhk1JUzsKm5ukONQAO5ZpxkwcOA3SNhws7h1wmxDiod7idffQV6CpW9Kpeip7l
WgNnru3cQ2L6Z6mo10rx5sCjm8TAnnu41Lz4nMF6q8ie1ri2CKF2m7Av9q1G25WixFBEUtUyO5aV
4O9UFfbr1FTOiejsdUodqrwalxeDgkw0QC9uu0++K/aJSoHLMC9fanFrTnxQcuh7CgrfAI0vh8pX
ajyf49e4evnNb2IN77On10p7WaPfsX48S1lKD7fX8MJcudtaQwCBdfP7hwvYaUBgYg0PCmKgxctr
mIYLQglweBoqCDHoc+Yk+88nPv+3MmjtEMb1f5sLPSKA+pj+PnD/16/6YzJELo9xDoE9AkmmyZDo
PwN39ze+kHjOgc1yufqLvppZPCxbK6SExXJGh/n+0/NCKYD2GcYL0k7fsUPrnwyIMDb+beDuEjT0
yAyaLAT4w2pK7p8H7m06zBHm0GTDAULtI0DynNGNb6uPSFvY5b6eG/B/iWVt8Pu+ks9HIqpY0IBh
Ld1jGgFoR+QCJIL+o7sarINtNJSA1fS5IH5hDP6d2TLE2YcTZqqdHyWbzHax7c3oooFG/2RsK+IM
AB+vUUSxjFffHTTDZ6Oj9NS8LhnA2RYTTYcyhBf+rYuhxkwh5gY1mFtXz2tCRrpNMn6LNk12wThB
/Qd1vgPJIVc0qHE/S/uSUQ7GvowcpyvUbYMtR2HNWbQ+J+v4+rGII7eYdUAJ9tDtBQ+ifkG3X33Y
MjVhurAd82BchSVW7V7LehJpQVCzEPiIbjixCSSqoeU+GZafSBF8EVr848Jp3I49MqDfM9k0NZed
o1VBFmG1bgCLGGiN0EKYfTXWC00Yh3xJO2fWuascg4m1+GiUxR1pIiBCJQSdIAFkfggQWaqFJlzn
WT+FEzcwgBEbmRiOzIq7jcOCJPWRHzEp6E/mjJucfgaGayZnfCdyVh4F/kjLH3+MWqVkYyFa5/mg
NgavLXRnZF7KzCZilEvJDzZ7nK3iQWhBk69VTXD8vyeMeKWWOPEtkW0W1s6Oj+Cp1KondtdgHQVs
4gBAJprvZme78ELoCaPDwz8Dj5cM8jwsDNQbN9rYtfna+9ZdOLnmmhodVz9F03nWEiruentfSuq/
WlCVNQL0DMoqQJCrWUus0MKM+0qLrSatuKJlY90a0j8j69hPWLBISvfbokZ5pQVZiPaqfK0Pni2D
+fXSVepmGcvHxDV+uK74jubpp9M3AQO75OCzX9tlHDAwEO3J8R5a17obDPEa5/GvCQZYXUoa+Fbw
ZQz2tR2BNQu/z89p7pK1d8+TV1wRHqEqyO4M7JYrG6sBMVj5YZYtQwZ/vvVUzQt8TEiHQTcaXCAe
Mdy9wrhpDX22Bb/yo1L1vu5ZtySxXI9tA6mRLFQQVuGdbwYMd6I4+/ToJa+D2cNbYzrtavaxHjK3
2kUuXmuTk+VHH83XWnjjZvCCJ0UcjlnCE06tH2CeuTJYzNyU95qazLMWy7lRpJTSfHxojJGPXEkn
3Qpvlpicf6SqfCNHjtcJmcPS8B8zPsN8jTY/66U1COzU7OEBtjiRzQPc0dVLrS8/mH5W1N75qc03
o8NUYPLkLl/UGUXUzDiYrqgKyjsMcfu0pDWNMufgJF3PoSY5W2iXMyRi7GVK/6c0hnNCbH7ImIZV
lMZd+1EQgxkDri0Nr1WsmbkRvnce9jO64QzKyJlRFs9pjVeuUa0teuSd1R4Tb3idQeSsQ5rmk66c
e7V6bH8voTuclx17Im1JQb3NmkMy2T+trHh3aLALjqYejfYAt8J2cHxa7pAhmw277/neGpw7ly68
NJ2T0OX4JKje3TT8ucwGYEewdV75RMy5BDjnvoUieVa6aM+t+CUq84eojW8qt7uYfNX3NPOHyT04
vf2c0ti32ubkmgRdfEaNDZ1+q+HP7NPyN2n7+7T+68XgfN4+xCgLWnAAcx7c8GamwaUtHsWjo7kB
lrC3MCl2GFuyNbXcm8HmFguez0WIxwDNL2z+BWrfEUhfYdcEL1T0Ty2wAl8XqupELFuUKzweRXNO
adSBodacAwNGI7AP2AcTGcZj1Vnj3k+HZwkgIR4Db+1qZgKaDXETgFHIuArGrv1qglcwpTobUf3d
TDX1OPgLGSAG0xdPBHQ/0iBqdxJUA2ps8IzAG+olv7ia5mAgNIzBO3DXu3K3fG96XPbgHxTQqbDq
L2UUnoSRv3pgIsIEUjnYiDRNo1erKjfgOtFUAlkFMDEy9eRpeXABTzR+vKsAUfgxFG8BmsJSBDTb
4LEiUWyDroCr8lhrlkXn0P1K1kNeMVukDaSZF2bu70wgGAIYhgfHBy5ayyK6vWvAZUiwGUHJHbNj
ojwC1PBL/yUPFdHMDONFBXSD+cwdoc3DCPbJ0VSOHp9t105gOqIHH2wH+JubccquYu5JZ8bPjeZ7
eG5xtb3ujWcaeAkIkJlB527WVJASPMj/ZO9MtmNXzuz8Kl6e4y5EoAsMPKjsk8lMksn2nAkWm0P0
PRBonsdv4hfzhyupfK+ski1Py5NaS3VEkUwCEX+z97drnw06uJC5Hm4N8CFsXE6sd2k+dAhiETFk
IquPbmGOdCP3mweGJAFHAq/BxOHZXN2FVOKDLBGgSwoxfDtBSXBIzfkgmahaiXMDpvSYgj2Z8upQ
g0EZo3Frg0VZhIb9wklxsvZQLuQUcnkOAygVDD0fTh80zCxMdPoc+C3YFYd8m5UGxIKo7SsJSQle
CC2Zko8ZyBbSZ++cUlqbbqG5zOZ0SsG7IGjE4grwxQL8MnbysQcEA2nuwfEgw/TaGdB8QccAGpNP
PaF63blbaDLpwpWZAcwEQnx72HlcM9EYRI1TKdUJCal1qavvsukX6atjJ0SUWj7JqmMwOKuyUx98
7sVdGA/ikExxdHBm2DYDRPqzO3X5LUhqc6fyDj9Vwh56Dbxt/lREwQPC96xNq4ZX5sUA0ILM3bR9
C3A66V5FVR3jzqguckR5ZKEf2ztVTeod/souW8vMIag5YpKBYIrEE9Sa+TaoHUFitFO/l1aF3rrt
F6EPkswp4pn0c+7WhN9xM1kkxGNT0GEMOnKqHm13aDEa9cPNWHvrJp2/QFFc8gQlFbMViKfbIsfX
KNJ3SP5bO8GI6qjo0oZkixBowgYvg/mR269INncsxDeA7E5GYiMkQphdtPY9ZoxbiPSkntlTsuVN
/YlSjk+p0Iple+w+1/0wbJQO3I102JpbEnems8jqZyN/s5fipdXjuME8aWGi5QmFLs18bNzY1vhU
99gGMurJDRmR0GqieV/y2YEtYEod2BjrzXBMbzy2SMiO9GvjkFQawwKJYkqqqKTc8Fv+lpXv3baL
FiMPwADDfGcug5RmHeo53ritQNDao0YnDnaVS/Ye8+y9+jHIzpAXznZd6EIt4XcNjtbEKNekiuAs
JZfzNOfBMbEAXFUJZ7bcq0F89WnkIJINGVQmr1buPTkSH4Pr3MkhvQl9gqQc4yV0eTTbd6gwEagb
Vqr8KC/lIvpWE0PMRQZeLYJwZ5GGd4tIvPEYf+ni2qAerxYZOQG4y6gEafkctJdwEZs3i+wcw4i/
NwwUvoskvUKbnjg20l3U6rgZuyfXSM5+S1zrPMCORtnODomwP6mOjA5wTiCA9xYlvIskXiCN10jk
20UrDyvrDXnIOWtzuR8XPb2R+v2JZdnrsGjtcxXd9nk0kXZU78tanSdk+Qn1CNr422bo7tNFty+5
fPpFyQ+p6Fe9aPvDwv1OF7X/YKPHgSUNh8/uymMepidjcQfU0j2FEX4BG+OAuTgI0sT+oJaCG7G4
C7zFZ2AwfcZPek0xINSLE8GQ7QUc4oO1eBTU4lZwidqF9h+cCowME4aGAWNDxGJqQTgS5J3N90aL
+8FZfBDE7ADmX5wRgbt1iuGbMcYXkpULRuKLg5VCLp6KXsPGwmSRxbXczVXwXmK/yNBBbWzU9tpl
YAg4kz/m4tbIO4TPi3+D7qi5Q3fvo3YuTQzK4a9MM7pze1yCvpmmpzyaSZnkAUc6469Iv2bBFcHh
FR95mGydCIgAovIfOLreXTwmLPkG1t/yJsF9whhz65J95eNKsY0y2o+LUaVr+yeFc4XtMXNDwINb
Ifpbhep+V4KbYDkKAjaOUcJCaJP8SrPBUgn/lrdKkoj5S2fPaxFQZBeiYkMzwrkgijxdkQ17izmS
gjFVzITFaN92UoGfaeqflAkodysoGGXCrnHW5l0O63wvtIy2cz22W8MRQMeiGJxmMJ8ap3vsPNaw
SQH8kyifcNW20T7Gp3okA/sDR2u50Y0WcBIyfnpOQozswt1nMysSQTZylYU+L7Hz0fIybPGBzbRy
86VqkF53zStF61spY/dH1ZnEebiPXmOciiq9GMzERdM+9y6sqayEbA6FvK957AseBNtbsowsmuFS
sMojgKnCNOuZr2FBHls819dydoLVkMol1bSBYAeYDs8/oQR+fEabuxsT3LcVs/j1kI5vUFP4mS1I
nVZWq9f/ZNObT2SlXTNdfxGt/CcuLsOWfza5ufb5//jvRfzrf/+a/6NQ0gSWK8lRBLQjGcXYTIj+
JupR/zFH10IoyUyH+CDXsohx+JfmNpwif57bwL+h8ZQL54f+k76ZX/aPcxtVGin8dIbSVRDONXV0
3JebqrKFdXANw53vtWDQgZWmncP8WsW6zEDGc20T0p4sZflmRmkrvqI0rfNjlwV+gvFBo3lHBkId
4Ydx0G2I/o4CiISmYW/ZQDn++zhl8bR2s1DUdx7oG4Q/JouqQ5fkY/Y7wy6MCNcKeuNc5r3th0z/
4eLdOqmN4aOIPXHQCVL2dqWJA+RNHaL2atbldCpVXzxYfdzOx7hP7VdiEY1qM+aVg48qHPI7L0Ck
uMGhMqLBoakp8w8Hhz6+/w4UfXAbMGjgmoo4VsxnJrJZcKmVOVX7/wv1JSAEPR7+IrzsEnIktv9c
cwnzwQh3fxRcFm07hOd/rLXMBtZl/886S5NsP5ZdSAB1dv5dXFkhRWRMDY8+3mYhu5jFaGmRdtb3
9q946qaXNFLkvdKk44pobeSdofuAr6m8JWHQs1dN57JTg7JLZHpu09AZgXHFueRMm8xu2/cAJM7a
L6Ep0CfatxHnOZcgx1pNyJGDQOLGBvJco2Com9NgxrbcxJy5z10RJMeqUtlZQvh88HI57lxtPqna
NV8z4mw/QloZ0G5jtta5lX2aTsHBV+ck5q7TFGGil+JzwaaDdICZHDA7MxmTn1mLYwM+wYhht0L1
wa81jOrbKqoejIuYvaee+Rtaidghuy0o6FdTiiCJowL5QM6Ay9w2vq72Do5RIpBSi1yFkCf3PBuj
JgRqjthARLomopmpGKyjOqQGxX24pPSGLTzEua4iMrpQgdTcauCNGqdnNYKgqbuOXYn1UcSqfO27
mhFpihfj2R4ynGgDoAOHeZbGhTV6bnEpY4NwAkoTVCKKCDtkrXH8paiHWf5CTn0dIjTHm66ypqee
rE9wHU3gCgwmoHsPU9w5UI5Q7X35PuCAhl8e7UEwyhK3YoRGiUFh9U3DkSkC1pvkoTB8nA4hLpeH
unASploj9rqVapfUggB69I8B+RJ+taTkT8GQQJzyLoHqU4QscINS0pJ3UToAJaS2eMDyFT77oDIa
WC9JsMcuod4dzZZ807Steom7gjQjJgrRleRExqamUSd3Wegh8wKFUwBDNkKieHr+jUGqRx54xdD2
NvRs6ynOkvLa9B5Ni+218pgWPnNCR9vtK3HHAsZG3U8HXdq2gZAq8M9xzpQIG2+djMTR9I25hUXI
8MrOXfNOGRW4jqRLUTzIadnwyHrZWQOAab8qaEC/SquZs2PRUVXd/6W1mgUhmLi7Od8+ZnA89KRM
1X4SeEGXWbi9hYoW0WIA5B5L2pp9T/qpwtwedw3tGlGeseE9d6POSVWVBRakRJdNvq1ZVT8L15gC
EqD6/HUEoSXWBOmqz6aYins1ZCJZwQIkccckOa5kz0he9VIeG3zzwG5ZdGUV1C2MmjhLWCjujEBG
39IbC+w/ZJK+QQrqIPwr3bFat8bgFrfMqHaVQ5Ak8G4CNLYt2ke169w0osVurVotFrQpQPw1qmcL
bSYkrmzK2x1NZH6JrFT7FHtaHoIxkTa7pTG5ryvPmjh8suABrlNOXo5V1Pd1V4dvbJhK2gPb98MD
31QjFzXtIDi2kSUn9Ka23RFQRCTttpYWXkqbJMZ3Ak8sGs6Becem5uVGwhBh4QOTCPV6mdohP7LC
GpzPLBhjItp0m80YobFY04fbHmOszLipbMKHwai086cXhOq5lH33a4bwdc48OYAp8cP0Z5toVtai
dMuACl7ws7sDBvoNi9r0sWXk1W8aaQM4m32hobOk1fSIysZJ9oNjsO8HTFJQlps5ijyj0TH+bJii
+c4i5izZpJFfvPBXY0nvhCwrlU44jTJn1uHiKI8Z1/JTPpd10Zz6WE0AyBCL5KjD0SvuqzY1r+Fc
wERWOWaAdUU7dJwGT5L2ICd9JWCXWeQYJETUTY0OX38PAcKAOmTrapKaiE80ImptjuV8hzCASQ/K
iYFLVwzz1x+yenrCHsa1gDjf42vIuwfqBUBS3LkedsPR+gEKHXWq0/nIg4n0hUqD+cJ+7ZcMHIMw
ZU4JUo/AbGuybwZREL1ZJQ7o8L9E3kRoHmtK7SXtxiws89307IbxlT2wslFF7t4Xk8clNPe13eKb
Rk+5shCp3BtwZnMUU0r2mzKU7UuPr5gAIwHAn1uNQI/JisUzV1eZYmLvgao7zcLCx0NlbH2W6ABa
8nZh3mGBqHZl2LB0hb3Y81+Uvvc2K90zeHRt4+Ln/oy5NcchC/G/IjvMy131rcMM1XFUl4y4rbnv
sHWxi/3kfyPItqZlyh+hHcWkw5qxtc2GSvJ+RbO4Ic0gqtcKzUqwCRT6Xh9rdMAjz19ki62Jbk7O
RXsKgomletj6lYdok0OTzYqZfszOmFxI2MMFbZc17r/O5q+4qYisexAkI003ecoQFfUSKAZQnjjg
SjWRE+wFkukVarJmJEIvSN+EhXViYwinvs16NkurwFsE0HlncICT3eO9OmU/kwEfExtfpr6YYVvg
YUBmaMywRocRD1nDAtne2nM8sF8hpW1apxEaJWSdjKih5NOkrV1emnaDlcV5whgJJ7sG71StxyTy
7xPfivXWQ6JjYzxww3HLGIfJhtMYihwkyG39Kpi1/OiNsRDUGIHCexqGP0mxYX+F0LP1uOczyFup
ao1rBhsPj7xin7VKOgQkO0FXr1aS5cZDhDcY+HtNo3zM7d7Vt82slldpwsdbcSUkt2KycfX0sSaF
qlQ4TVbtpMV1mCbr6vpW+nPwcsaDsmyTPdOdPAGGsJBwY0zF7j2R0ykFh1m0xS6PVUSZO8Bics5U
rCR0W+6IXGmONWoBy04HZuJJJr0Pb4xiLptZGKp/nH3qI3aD7N+92zBsdfRCwUwid2AyLrmV02z5
N/ZMotkVjWk77OLeHMSxHlSAtz8RIvh04iaNds7YK/VkTQViHMYTqMmtaUlU6IQ5y7s/dET/wGKy
OEj+YMZaHCbYugDAsBuG5OUu//4HMxYkAcOtkibc5Pzz2YYPvPFLL//8599FLK3K330b5bCBxszC
cQ1s9M/fBnxi0Rod06jKHpmh/W5iEV7H2UnJmYBnFLK6ZdqfkOy5eFfMBk574MXN03+yXvj9C73m
5ncI0Wf3Z7eKpYjd/sPfZfPevf+XXyB7uunynv/6b//15r1tp3/4NX/th9VvgD/xpTg8DXJpPP9d
x+D+ZvsLZ9pRQD8cDDD/qx/2foNDZ0uMLziULEfwRX8zDrq/YSdUUhFSY+NnA6f7rxgH6b///BQt
RYXnw9K1Bb01iNy/e1gbbTlOQtDHZmwjk8mdc+iK6exhMVsnrXcHzhxKhZ5XGHUuXRP1e7FkrFtl
y5JObJyOittu9n7lHKHfPM6Vddv1nIqtYuY9cm2NT02Mobu1LYLExas16y+79WGCx+ekND9h+9Bl
jfLVo5WmYo+AGrQjfDtmsnbsZAeRuBGKIiIGA5vAxgF+Wgx975CPeqsW2KGATKlkDdoP59maBYJx
NeLgBdPbpquT92jg3TAcn1IeF/bRH82buNXY8503H47MXjTFKSkoUnyPiAgM8cs9cXa84LnXLmoD
85lpMaubKnkXo/HAqvfiiGGfG+6DXVuPTU/VTiByinGCPZUxm/7GcpdYvulnzZIMaCaGnxL5Hdz6
TdejTUQpwbTLyEnEGRzkIc6jn3EdgkYAuwDYwNLzWlZYgZvyIGtoosSdHFiE3KoSnEHRUMcgmHHX
TWt8Rn35M8YuN3q+e6Pp+004TsfY029t4m6pVNeZZa05+652DMoDMbs4FGPx03XKl16Uj5ANiOxz
z/aUISet0vtMNk9hmVaQ2sK72mUR4Cq5xZm8mLs5wRlQL3ueDx+nDw7kezSIIFnSb3YKd2SH/Qik
8RxNah0Jj7XMUPzEO5KvwCSC8fOePRFt41ZVH9Mor1Yb/0yWO67VrPJjuOwh5GE/TChq9a3JXtsk
A2hVOxaSPJhsPpF3DT9eFBG22uqSqKL4J7u3pSKaDrPjvURQwkMK4pXdhleRtsDdZPcYQZsHX/ir
HVvrvmzcX60UrL0NcWP7xbFSzRu34swsNcEAL5YgjedpAYaTHbghrfYoouGYI8hA+Yi6rJtQ6DpN
tPZQFoAQpA0bSecljHBd1+2LMUBRJU0sgGcA2G6c3+nXSHn29FX3qUGqJnsZmRNp7JXwM2mOWQPl
kD71/DXUzd4GVb/rJirn2dvlNdznGQRYyLA7D4i6szBWeZ6A58DHa3iUxlHzMOh2uG+1GjdCleyb
2vE09UjWB1M8Th4q9GS68vMdUBLcIZziNkoNJr9j9tDNxU3mujcOLVmaDikqBmz6qVMY27S21R68
/QdO+msdG/ZubNWhq7HVhmGAznAQu0zle2Q3IGUaWLRTXbzVmslaJS8G7RBwhXLfhNnZETJbWgMi
E5lA6ALktKvVg0zQnIcV0h83bm98j0G0Czk1ZlNim/yAta3XrcxuomFmN24WyLy9p9TmP+B8OVW5
expSxvva6XgrWeZhxnvh5DwZjQmmc3bfRAM4UfsovosR1tGCn/MecWJ8l1Z6LjSqpMZxznUSnmDY
4i5Ln8jdepxjvE8ubWFQXPKxu4t9lfPOsrcKvfAJFtUucWJ329jxpeTcWYkmeJmT/IxUEoGOO72R
q3NVWVwhZyjApOIKA53YE1k1NYvYSx76ZDy3aQK+bcTUEjQ5PuzhU8XNPY3hi630JXWDt8HWpHmj
DaiCifVxsjMcBkVRfkW5c2RWcUDEQFZNT3FVY7VCk8DnRAZFhdBqnFixNFM/HKQN5LMrkl2Yetss
r6oVpImLIQP02rVfrlPbgQwbYx3IET4xmUTX03Un4kwPTjuckx5ut6vdLxnGx1DQkaGp2JiOfjP4
YsBJN6OO+k2EfcPxxIVtAr82/oOVTBxx7snBCfwl2MKN7ppYvWsVPKAr3jnBiMhpivaMDA8GtFuy
zkk/hLj2ZYcEcmCwYWy9T3ucTxpnkJtjlbBaH8cbKvCqtSJmYd6JuPAKzLmjf/Ejkqhi2ZtEufsh
jHeOVQA/GW91JJ6marxWCIHRVrn436r0I1EwZc3qPpnM60ykeuva56YjCsuKFjkEsFRXvVfWyODD
ZJxGQLKqeA6NfU9wwaYeoCjZ4GJXVms9EBNAxTtgA9OT82Nkj7wmufXIWf1ISs0uLBZzgl88KI0J
s+5p7nQh/XWnyZQkG2iJ5HgnKeNa5vFPIwqPKsVOnwcH+mx4OjXKaSt5Um3wLUmHCdzmgpuTJ3eA
XZaSG+Taxd7K5s+ISe9oxtuw6G8JFH7q5oqJgDM8duDQgwnzlaza5ygxnYMb2++Tj+qIv9974Jv1
ZkjgoOPR5HoZvXMxzccolcnBEjlyPzTTpt2zaQwuNrGO8D3QMqbwXFp02rzDpzlMvkwvP0Q9V1ir
gmk9y+AgXKxjkWoOs13f0vilK1SWSBeRKlVRgXLQs1YenysKLvFs93w4EGGzNY3ColI2d9KKEH8V
DxEc130T1c+jqUN6QhuDZ1w798rmWjRnL+NO52zOyI4kwa0Zyv1Eopuv8zu0aTs2ChbTJoCDZYTs
xl6C4LQPXZdkuDQ2Qck5z11TH9yR6LjSQXZnaPvNj5qfLvFVErMDmezQvjICQRu+ikPDXALpTEnb
SkKdIuFpWiLrQkv/6JD9OZM6CTLtjLx47Mm4E7+H3ZF6l3Nfn6IlCC9BAUkQFOF4jUArUrZYbvMl
Oa92PmB1Z+vQJVSvrMML0Vas9abufl6C9yAzEm60hPHx/x638xLQVy9Rfb4Z7JolvA+MCGQ14vwq
cOUrvBgv4JPRmqlYHRXpf3KJAUQUcaqWYMCFlFtFlX+C+/MrJjvQTjjLGTev4BSOB1n6T1iXJZ+t
kscwJ+kihHdOMIh9wyGeoZND7k/45X2HLWEmKCNYfCUx0RlGPP8KNayvJVOjr9qzSkjZsJmK5ZLc
jdyDxSiJ4kgcMjmqIqJlWXI6FPIjnh36VGY/EzsMW7D/JtnDK5h6TabVkzovWGITADIsSSDY5Xbu
kg3CSoQjnuTzeokNmdJXROLNDtPgjwAk4HYmYsQmaqSo5nPfq32HvRivAYaFJZWEXm649ZekknjJ
LNFLekm/5JjQBe9Mgk2EGHF3tOxqc62uo81LUBCDorKBCYdzR7GrT6C3YM+BXcZ3SSFYF6bae31E
sgGGRnxSj7WJkRzNXYT2rqq6W+lTaiLLM9O7oQ9OiUra/ewhlFv0ewZAihFBn1yUffbvGj813JZm
uyN1ljtn0CeOKSy/4/zJEffFaUlNiWRQc2hkVdgeGhEZN4OZfUaLvhBg6qPRmzuGVzwNiwZxWtSI
6FxPM/LEYtEphggW4wqmdyRPQjcUA6n1RnguuhM0jslsvqT99DQiNsgn5ykJTb3pkEWaTpS9s00L
2ZYzYCAJE1MjKkq16CndRVkZLRrL2gdPbRmkyHiLAnNAihksmkzHrR4rO7VQEDN10Yg3Uc3tO8Sc
gDJ3elF3Mj3J1oahL/Oi/NRIQLk+iIlfVKEmULERmWiJf08iG+1K97FcdKSxlnob9PIhXzSmjdff
akSn/fJzsh97i735jnboEAi5j1CpxqAhd+x1DnIRsCJK+LTD4lfY+S+6SR7NReo6tVyOmNMANiFH
WDd+Iy+jbi51F55sJz/quvjhk+1MegGBdsyCxG4yzYtM0mgtkItT0MjTLOCcZLOXPwVsGTtHfrKU
Z4zrjKdYemrjF8mLooAzNANnBkYvnnbOYxm9hXPMoU9+PVqQlRGVL3XpvKHDXgctIkLkYyrMOKvk
Q9OJPZmZ31Y23rdy/uEVmE/GIt1i49wGrB6BhIY8yV24pXjntdJM1BMD3nUgeRRH55Ec8LOvw25r
uRDfwxgtQQ34Exv+2jRHXvxAdPCptP+DaIzwawjHh6iEK8I2p1ibU1SeUfO6x0EnVJSsJu6CKh9O
5HAdG0oWcKzDEwpptBpq8S/O4dfs+vvE7HKwzFZVbKSNIH0Yxz2l4CqH8oH8j+wfqy6mk2a8ZBfE
JefYr5qsfLWyJjkOIWu3HqMvHL+9SvIbnXr1OnDMNyxdn+VYAXMfTWtb9+I4JWrbCva5ie9upUk+
4Vjmnw6XyDanndoODssAy6moEMt9rGR06IJgZU/+Y472IUoQY6XBhg3pQ2NRvAsy9BBHH9KiJxw4
OmQYyElpTLHVsTmehrue0GmWXydzati54T8UPukOZBtjlkseOUNuqqj58H21i3L55ccd5U5pvTT0
rzgJE8CpZDhERg/UzxTBig3Vu2fSh5sxspKwcN5qEcone3AeGRrg1gxsVNnGdIu5+alJS8pws/NX
UyEPqm4+Xf5kVCsDnN6CayeKOoqPBKt2V12zqg1OlWTKOUV2jWnb3cSR8dEipMFWvIKBg/oMiFDc
3naNPieZ+izRR03N0qMaMalO40ytyx951/nFtIvnmBxyBMMtbNWN0wb4V9FjdvN75RHlMIbUw4ZC
4zJY2SEYqlewylv4PEct3V+BPzOp82zUK9lpKr34wDJN3OZ9bV0YALDziNo37mbUXXHc7SzkTLB8
IAbGaS72aG4OpgUmtUIcAx/jPI8QXiMsmK4ASx66VAECtMHcJcm+G3mdEfQWVNMEuzMpgdSD0Xd2
f8LBJSovd9MblJq72uZ+QwywaS22mW0QomwHyrRJinDkGp+p/CpzrxvC5edAkH3nJybodmeb99lF
jcRzsqA9+DQ0+wJz66r0E3E2bYCXeZOcA3A8ZVg8isC502p+U3P1RHW3U6H33TJdN+JinyBf4jrq
fvG8VmcNrBNcTwnMDTFbklOFx8m01263Uz6sZsF3bPCm0J9l8IiigJqgMBmGunm8OFSQjBlmul+G
71OdEUAzkCPmwlj1E9yiPqvkdGoYrMilq1zA02Vqi01kWMPPIjOw+iFoxUL607PTN6L4rj1YgwUX
Qp1LpoH2XIwNnfka6EXHVPXg7OpHz0fhpgH3SdO+debhKiZ1qIcqWtdqOphs2kgekEdTOteyGPgM
0VzAKsKzTU4s1JD8imXYX7tt9obXR2yMaUQeXOHYK8InMRQX7XsnzIg0QYj0KCRiB7G1LF9CVpYr
BwJdGNSvBszPOZMOSweM5mXY3wHLRVWcUYWw0KhYwZcGanuj2RdehOSqgZEIkPAp5m25aQvsD1Ed
RuvATHc0b79EN9PD89muHUoonu78tnL1FVnle11k1wBL/qox4w22l6MXWDfWVJ+iAtRbQ+9veOlj
40LLJMStx47CRy6tKVzEfqd8MUBPE/8nGdufvO5khTvVN5cpUih+a0B3rLUq8RgZ9u3sUdGxct6D
4drUfI2l1b0nTTKiUHYqxG1lqPKN54KacG0CbOXC3zIucWThNky/0o598WRcUcWdfAQs1HakM6XH
zC0ODvkKvZoBI4y3nRPcxoHeFFl+jSzjGwz6trKiq4BA1dTBZcpAiSqj5CYGItYp8Y3ml+cbNUYE
WJtKCx1EcTOo+dXHtr23Wdxu2SW8Bbr6VY/Gs9/Z5MLIJxmO1cb1RvbeVd6D9sp/+a25Iwxzgsts
oclN6hk6pSCFOXKvvWh22qlvYkvuTLYViQEcMoy9S1eAWx/T/j2O+rMBhZGJYbuTRl0hzcDhQ/xE
t6HGZDEkqZb+/3z839n+pKIjsfqP2Xr/ln38nc3P/suX/HU8bv8mGW/bPl6+JQhD4aP7KwNK/ua6
lgf5gQH5X718f5OLub8t6xXoXQraoWVbbD7+Nh4HuUcta7MUEdI2+cd/aTwufh9//2HJwnic6Cwc
g57FQ6ws+Xd6sSKf6soJXHh2hQbDURGLlC/+3jHLi1OmGS6QacM7655gfmSYdaDpBoEBvbSBziTr
PiAP025I7iW/goBpfXQJyDDQqvIqeCfDZL4ojLsxKw+Fy0nmCueuFFa3Z0+Pqdqgme5gf/YW7hpt
ekcTA7lQYPds/3WuMQ5xAiN0OkaBeQbz/RZa1qHqx32VqmtuBxZCAPtLamlukiC849y61Oa05+a6
7c3kxgzfxECd0eE7Jnn8ZHHNcnQ+9GOFIKRay8g/RKYDVMAOVq2G7afi42j099AjkI3q+QON5zmK
3B/RDGFWNvnOyfWKUE2Hpa42SJYZf5ATZBEJkjbkjxnslZOGLaZLPCjU40NGd1ekPqRp6xED3V2X
DbumDfy9HwF5TYPvkC4HQeheCvsRSdDRHzJjk3Ew+Z18S5nXgveD4BZGh5JUn8iF50oI+ZRW97SK
6zgfLsmyeTTAsi4I84QetKgB5MwEvwymuo+iAbqFiPcq7x+6VkAKMNV5EB6Jbun8S4iqP6DhoHDI
4SESvrXMEPscd57AU5E8ZpxFsEqDg4v/nfRZLELmbvCd74VA4ETRdzJXlyZNSaNqAQ0VMoNe1OYf
thP8GhkJ/p4e1jYBj07gb0b5ORu9cZM0FRMLn2OxzZN820mCoaMZOovIN8lQPFRmCwBhFCji0eEk
1BIkBb3ojLtSO5BX+7klaq+5Idjq2cSZGY/BNUD1mAWhxGteLMBwtOwh4iQtVzYCA1JmgOlaNbqU
HLO4qadDJf1VEjafTQ3UmuRTzBBeReRAKgu6fEK6lW/sw0pjAbDt/WwnkEibFTgZfEJlkCIsIh0a
CSQib58tT1LTSgNDABXeELAM3ODBbHBLurU2tlNWbWOu28Wo7bFlqNutFXrwh8TBGvsDiaMu0qH4
EDYNEyjbfUfezPzNR4ns2pC1MbJ/EF84r8NBv03GfEFb/mTN+FxLl0o9wqZaNP0ldhFtJumD1v03
wcWHKdJ3fRHc8iGfYRnwMQysx1VJom7wPDOsWKfe9MPpzXo7V+aX7KzdIFps53wiaMzWXaZvgeGv
6iz4yDCrzrH7btbjQ1pnJ7/oPosowublunxGsC7umSMYe3uWA++DXIl2fJKedUzE+NElpHKgUeHM
MIZvxjfDqozHV8uDRaac3RQnxtEtPAaINTDF+aPOJan31Usckh9MVtm2JHKApqgtcN274Rle+g5w
0o3IKGu7EslOXff3Zi+fh7LZDE31kFnsydW0Kwvqa8WQKCcVfkO8RrmHnnlZ8Etman22Vfks6uKl
W3IRCU3vseVYUHpAEpPTnbuCeVafYCEBWSuUuJSh2JCzsm6MDHaRnT73cf/sZs7PIkVoOBLlAOg2
sHYaUQhrAGFtVZnjk9BbXCyvvqZ7Yh52r8v8HjIbwXVMKNxh7zrpax3zvKKO/xQ5xAd4vBi0yu6I
NiDaZjUmXtSXi6+5RgXXwLuakqI5SjKF2LVEh36qnqy8yLZghtydHqAbxAnJlyhlYV8MxZ0n00+T
meFxskt8umo8qqj8mOboZ+PWp3TIj0EDOE/l+U1SOU+TWdGSRtae54g0t5Jelwtk1VoAA5N0sSJ4
WDQsEx4OncuKlKLqwLKx3kZkXyyw8ve2nphXOoDmBvyDGrzvekiY9WbWRxnTqI7usfWw0XVdca/H
aEMGy3EI9D1EOIKRqfrdbpMPb4klTp3LbtRU15ZMrMYE+mRXdzLRh7IjSaVO7ZPw2hc3j7CMTUd6
451Mgx3K24vuqJ+c7sQX300jv9kMByJJ+zNaoe8qcBg/DwsRZJiX9I7+M4gAxvp2fyBMHhKXXX4n
sbnBS4VZyKxP3TSBgwbOks1Vw3HSUc3jtfar6DWbh5hgv1HuRWGcRxh1a544OkXmjZWtD0Fe3XrC
/5/snUluHNmZx6/S6H2wYx4WbcA5Z5JMzpKoTSBFkTHPc2zrFAXvfBXXoo7Vv2BSEplSCS6HG52L
TsAGbFKPGS/e8A3/4SbUjOsE3bp5I5KzIUW1cEQpmCfe8B91agNoLXwitSo25qaCK2Rl5udtrIpY
QQNNisv6DqStNofVjcwOLDsaKHxTIXkXYj+JBCrOTgg3hZp/oZb6E3BqZZIq3m0EaUSu2/u+p83n
FDkoblKACvKd1VGFRXTwfar7IFLcaaCXCWp/wipHJZdinKsuzIbljNdPD6dXvoUVP03CAsEJAm+z
SW5Dq7w2C+gJnhRjW4farpdj5U2Pkg5NRr+hUTZBKJdnTeZcVoaNqJ5Vnrd22hNzIO8XUpesDO/a
NOGgRo2BlBR2bQo28zPZSxEQsnQuaVA4dbmRLTyAxKb4HBtkwrUvboFrTdUiwFs8utCTZGkCPNdp
Ck37NvMB+NIZrl1xiyb/peJSNhN88dIpdU5VkUQtUbTzEH8h1hyaHXoky3CckwhepH4h54Bc60HK
K8hhlCCvO7NzDiMjexAEAmsDd5WerkQMTX5mWOGTXPv5FPl+TO0UoDHVvVj2a7vq77wiOgX6iA+6
OvVEyPildZMAS+hzMt/cOetNCiZCMofNfq+2mLMAHSRGaVEdjtqFGptzKrgkwV1+E7vmcOlhJRJz
ZZsqLtjsScivl6gYTxGnujNYTXTtWzw5JMRy8m0iI2GDBQ4FAWWROhGO9lz5mkq+PPMkYRAKCu4T
t0NWftBgdCRs1EHQOakPGjGOPxVpimdo7ASTwCrvnCihJwPBz6N5tS7RaoEuk5xTJWipvZBn8qom
OvVewYhEbt6WJMn2bzpHXtf0aR1E0yhsSmdJq1ByMxxlElnNTmmNJzPCK7UXs3gqc951RbANZfVS
yd1+2mc8kyw3Ol08gKsu6ea8E5pgARDzVirbZg5V/oPQ0ch2TO9dalGt7ajdYZyOXJVV3Vtyehob
SLnnEP4t37usi/wCxPtHWe5wL8EvMovNmR+Snjaqt9PQhwPkd1agpTJJDNunrOIESxI74lZFVBdB
kHszr2sfs77jkvCUFUKOFwqG8F4GkEGuqZC04KTPkJNLEfWUeGZ5i7Yr/Gw0LQk2QhQnbXtHgQc3
KQTqiZvRzucQTuf0sa6ACw++jOYslygnyW7WLN1aQGAQTdWJ3Htrz9feZdDlOfJb+NJwSzel5N8A
zbuvRUT0RD+59PUG+ndpzOkJUPnAMgouin5G/d+di4aCdqerPGKIch2X1YUfh5hCgIZrzfQWmzwE
6VIbh86U9q5ploOEpHsjIRNpJmzqNA6xYaVMNMdw8lTqNYAokFxopXAdm4OaMxRO4KAywqd9ucpM
bgHFQ8dDlbDuqj9Xjn/aYC3YyIwgCk+m05wjqvQp0ftinjWJPug8nckCUEBJ9jKIxARs4PaAhXrs
i7DT5kWMTFwE6ETVgFIUcqltU0O4E3zu3EzJPkd6e87OA9fh0w2JK3Qhe2kLc1HHCcOOYIxnGy7p
pRjFBGqyeid4/gN8iGXJRE8HJHeNrxBWmAjx90aOIn+3EyoVVoMfTsU8fRcWqnFJOencHiRhkYaV
HP8CE9FNUvpUogf12FqkXmvbi2qQldUT4OP0CpOwvkp8KtfPCrQDFDPgPSiULMUKLI+FXK0rltwN
Mv1rIUYqJUAuC/ltuVl0NUq3KJvh/mXj6esU6ODKlfg+J7mAJGeCawmCObhE+JbI5/aDji6HFIf9
oK0rI7IrDWq7AdqA82RQ4O0HLd5kUOWtUAd8HyEUushiA3sYL/rkweXJEtqybX7Ft5k5eU1wD+eh
FQCdejqVK932rmtfOY+C/NGxwmDpQ3bcqxE1NuBPv012kpdAMC2cuRQXD7begYAEagNYHhZvYM1c
P0KcCyA4CorlraWKlLd7xEQzauCnoQYtIwn7BfY+c8Anjy3KivOuQnkAq6Zy3nKg3KQ4PwPEaZRF
biSkV2CFfAjXIrIAGMy6mX7mVRAQ8poWnEWPCYx1DWkloDridk9pgTNMW2iomDToOBWU/GZF2txr
JWDzslFP01KdZ1AkIfObF9TRL+qoRXSruDGInWsfmVpD0CHmUTL3uatz0A29oL7za2RIIAPURMTt
J8w7+6keC8MJkU/lOH3skEohEx6cRCDomlz4c9Txt4rvXLkIMIuRhgBKq88gkVxqMEJAPYop2YnB
4dt2ULf6qUpgnKGy2YOCr1zuMkXdRJSA+oQuPAToGFHloetQGfBBeFoOVwUOb+2ZVxWyq64G7BUi
OMjRSVgrC43mUgWqbJLahTTzS9q9llqAEEBtqpKWFvET4NtJUYX3hdmv0l6by32H4DLKNmZyhX7P
OWfZuiSYmMRG3sy9Mr8Dr0HPsde2NpY0c08PaT3HH3ypJ0swk50lWv0ktZrrAvczCDSPA/ZbtatL
Iyl3KqyxSYlAPH1j+ihKpk1zu/2sI6sqd/LSQSsdMRiaEg5u2I7swlwF8jcLvfY+9AKKZR1lYzW7
VhwkxcJIOgUJf0X7ZW6YVPeJOtoJOuCkblBBtplusFaIMqui+NjrcTYTIHpw/lvnppze146roDjW
XrtpTm4q7SLbRADb1GbIXIRYxk1bC8nR3tRvK9rZs8rogTG5EFLt617S7pQ8okKsrNG8ppuqpg9Z
5NA1UbJujbQPTkiypCxrobjCmQabGVqYcaosUzBvne5f6LZ4WcQCHD1PvaxVGmwO2Qft/4CCsVI/
oKl6nyEzb6eJMNdRJc0ERb0ScEhBEtjHHSXTrTUowVljI4dBZZmugL+RC1xStmiHInYtz8wMN3RD
vo4UXL6UAWWVQMt2gWa09sR12IeyeKoq9srDsSpQ03kJaqF0kWEW5PeuYa4dOAJS6y0CrqTBksXq
ZZz1ppKXrVDb+ExTbFb1D04DEoH+SGXj0YvDjwHowurrLW4Lq7jrdoPdCBrX540RXgXdU9NVCyxa
Hn1DXLvtQ00K1Bl4jClDoydHyNWqr0hgUaCspHge4iaN6iPtNqd60nUOsqatr0ocIKa5iyeDn5lo
1UXNKk6K07BIUWOrRIQFHRhwauWuWr0l80BCFZkPXiKI+rMqhwJm4yOAJVBSzvH+2cmpoU3qVgMd
PzCXqt61TkNyawLm4iwKdDooVYNxWh94Ww9czDIMBZSnQjJKBCA+GxaO2jICOA0iOWmtP4Wwexo3
ckDwaE+JKJ5LbXhRAoCeon1AOOhgyB1ustQnl2oAzXtxPzMBGXE2QE3pIv0q0AnkRVvWJq2CzI0l
25wCunNdRQnSC/l7H7mlixwoyApNOU5aRQmXrcQfyErfmdpewnmaA1PL0vqd6xLsCU6xLdXhKI2M
BVhYc4nezTTU2G3wS1B4VsvHIimue70PZqpYXAH6w4oidFHnRC60Qe5gMhgv2gHtqkruZv9fef5a
eYYRTLH4J5XnnEbkg/sWm43rw/CvXorP2okiQ92wZCQxBo7xN2y2igEB2F4TeBAuoiDAv5SeNejI
kmRBYYb5Ils6bi9fSs/qCW6mJoIomqHpaNlZf6r0LIrfUZW5NyRF5GLTLFmHUvAW36+WleP0dYUM
hhd2xLK5+KmAVT3BN0pA6jyxNhVi71tXLvw1fmT5xoTfSluUcqTm+5ckclO1JUxAAmrmSvrcNlUX
naVmaUTxurMpdIUxoZQfUuOlbz6NLPfCLoptiiAYHK52olp2saJLOJdD91JGjLbxTO1BV+07t1aJ
PZB4JOTyHSAVqVJmtNmM5ClB7AXhb98/z30H6AxFMbT7wWxVBBA46UxtYFOTqgQzTrXOtaW57pr3
odNf2ElnzSoFH1ROC89RYczly6LCRbQtrS1qe1O9c2HQljCXZcE8L2kdgez3iC3pL4Ykhli6uDiQ
WEElTOscwEThpNYy1ToDYzocpshR13RJVxKWZRD2DPMMImG9akqkh/gGcGuUz3rnp1PLiWTIc9U9
KLgnLyzKhe2Wt1oLPEQWIbu17i6p0XMgikO8AUGRioapBmLRzFNprphVeWl1KdQb2bO3moYcm9mG
7a0UgmhRybjrcGUY/iJ0ndM0T2ZRZuHAHc9cTNZPBcla2YKWLA30DWS7uLDsfqMXEaG9AbLDAiKV
edYmy8Qbu7M3iR++T1KU+KhScMt9RLlqGVkYDBsdnWsrmmNE7E/qzKBRroX3hligeIIzlYQShGDf
26GBArtSrcpe2djET1WKeoxdRdiEqjPBy9JZ1lLGrXUs8TJ74SQwxR2D6Dm5inzhIvdtDNXySYla
NGrtt3hwrxzVg0CMk7BezSV6zmYIKDQpL8DO3wWR/65QIaX3WOGZoI4yu1rjgP5JLcOtBqSo1T2L
QKqFxMVKdqMAKZdoZzvSyhCarR5WC0wX31EJomhnyh8lAA65Va7UzDjzITU6iX8GcX6ui8nS6Wnv
SUCFBe0Wf/THJotnQSzNXQOguRvX80LDuFPMUpOQtI1h3NeEKE3ywba1Wa957zOtPo95QSC/EVmP
0PDJYxc9VivG/KtKrLkDVowEvd7mFuAlJyk4xlu8BTsNpWyNa7WGrla2ADloHBie/onMZwFUDQ8E
0X0w1WBVy9W948jxTHGRqNeymKquhQSikZN1xOlVifAP+xnMf0k0eG0b7W1rGFdIPU+JgPptbUtn
au0Gs9J1kDJLCZ3LhLpjC5hds9YSHZm8AxdQVu1pm7lzKXAftKC96XXxrK2LmZG3SzdN8akwgWiY
A5AR7a1E7fCrdgNw5umd1GJE6aOtbsXXciOpa09BG6nIN53oXsDnv7YLDKoVPQJD3hZUqeGyumG/
MnL3U2dqjylA70lv17xmDeJkelHK0rQiw0wRBl7oetTSnWnWbc+RI9bipS8qMPN0DHJNZYqbw8TH
QxNGbLjWdBEHQE+ZNjrBdCoSgmuXsYtEt6HBI6hbVM7b6N4ym7WHnK7YdmtK92sjMrNZgFx10rvE
RZ18WcvBqnJChciSbrKYBisZ/bqJoPgyKY/6oQzVK2BzLnwO4VMztErSpm9WXoZxBZTswVy0OqO2
Fc4aVN5FjUCzDe5iQ9j6mXEBUFmlTtbrU7mEMfosTxmbHpA5k9BEEd4bSbLpC30T0xaaNGH4McLq
Yiq07DjVqkABA+aOEbRF9SRVl5nV4RtgGIvY10EwdPimIPu0ClMhnKcCWkmBFH+yeli1SAkOSX5Y
Lqgd24CYneswApMgJ+ldW+inZC05nFSKT13jA/DR8aPrBfuBEi30/0a6rGwkYzo7Rv0puoabHq0K
gPhpSvIhAf9oBD9GH5y6Xo8gxswM1cdaz7NJUOGtKYZIGmA2I2CIgKHYfZGBvBeVFOwvayelmpiU
wOVTCUphaSaXWFS+E6PmEh0rrFdgTTv1ss/wzoIbUaQBfheCTGgn27dOXW9KilMd2vSAVsENF7V8
7hTKAnbgErbKzMf1xUiFuSDrGAdCiZz2RgZv01Y+2Ko0jRUDyrJjO0vYvc3c7cCdZbLpXZDnkXFx
eIpSfeUhLoZumobQDfhzDVHRGQU2xPtMMC8UhNHcbO0FoqrkxmZ5GSc1FKjMOdc83GCMqFKWYKnt
M5a9M3ddErUm7PoL0bDfV07PUksjtLd7/dIRSvWsCCKK8MCgu0BsF47Pt3W0xgdw5kanQRdeQBjU
p1rLdZZH3GQoo5bkjyXFa4FimY5Ak2CRQSY4PtBXtq5jR09meY2gvCNuwYBdRaCzDQRHuIcbGDwy
IK2mcbaebWYLC5rUFNbspy6CoqBI+rUILmeRgqKkThqBxA1w7hXip8Q9VaCmzlVQbCBI9A91K88r
LVxDCJk6nj4TVYp0EOrjSaW70Dkqcu1Qwx4gIcnrHxpQT+Ct54UvA033aJaANmcJ70rdfqh8q5tC
pshmuQZpIa2sdYCVL2Uo0ipBxyYX4zUA1bV9KlqwQqBfnxJ6e0vVjtwpjNf0zNbMhYUSFUdkLM4p
piwFHDUmOupySLuyrui8KDUq9F4MfjqsF40YAFrLeV/CLZZk0KGVZeXh8Yi8PPYLAYSMEolyrdx6
grXp4gD7aapGhBmbsguQ4Q1vDQzXGjH94GTiPKqBS+UhMEzLyTYx3vBFa2KGoZ1KNFgkBVEwJzGW
cdJ8cIHXATy0lwEUEAxPrxA+XoZmTRIqLAInuopgV/Q976Mg26I86s/TVJ6VfUWdHOSXnVDZR4Yv
JyKUYpHqvxDcIY1Azg5LWgu8CwsdcalWGagC42/fSEG+VgXoPjLoTVHd6Lm9Qsp9K+bGOez0DdQp
iBdy/R4FsGjJTbBVEYWcFL38PjeMTdbZGcVJSu5Fvan1Yu60+V2Fa9y8zSC2hT3aEUVnrGqKTzXu
K7brgJnUgNKJzZmu22sjNIgJmjXUhGUXKVeVY26LFBm5ND6PlRK5ffNj1NXUHRXy5hydWMuKzws/
vrPcIJtGrX0qON60dwX6pQL643aILaF/FtCFxuKgXHmoaLJjm/ME1UKxCOsZFDhhkpbZjV/J12Ub
LNwyvvHE+0IH3d36NhoBwYWCVGjTZleFwgNaWlxTr6bTC9LlEzpmi8BFuRnHDbqJ0dTPlriRpKjf
o1yIWK8S4rJVBJu0KtdCG7qz0CnudagZqGUZd8WAJOxC+RJDRnykxI+SK2I06FBh10tLRC9Fz2aG
kDzppbwasJVWj7ZcnDdP9B+u8rwaHNxNlwISasw+LXgVxczGgQup0JcQc2WFL9UKicrbADsMnEE5
MSlCZ06E3KW6NGsAFB4AtNgHjOGocymX7zo32yol2yfz5blSpzMBYDiUNZjZ/r0IMXuhY2nYt8pW
MCEuypZCbUDKN4ig3XOV1HMgWqdQ2gclnUigjCXceQg2TjLdpfIHhwcVFypmjoOgDeYntiVfG7gK
J1H8IYqa+KwLy1M31T7kZppvgjKI8ZLU4CwY7tYkPC3rEk+h/LKn5Iahr7gNffUS0o8ERsQDfVau
LNVcdcQxZcmcKjjaljgvMiFYRXZVT5qixwBl6ns0q99ZhcOuEy8TuV77tbmoUJac5XD7J0HaEDrC
JxEEAJx6pJ3hl9Iuddumpce9rKU5eAIaJjNqlP2Sq8qflmQougKyPtfymyjWmyu17d+5UR/MzZqg
yGjuocbfI458lab+A2p7V1LkvNcg/lMV4iywPPG9YVYJ11iRsYah1Oj50iEsn0i+dEZ6qczSwFg4
Jo6ZutKJM2R+6Ds1GJ+YJf3BeKnGxWVuGxdxyL3vllayqA2UA73sqaySW1GHaWTW50qircy0AtsO
ZrA3KVbYRnwadaR+cqhchtDEqIxaF7GrXYRFM6dZsuywpG2hfUZKOmRQUztrTj2WvCgV0H+GepKE
ZjZMUKP91BYeLrjUT413uKvdtRbe0TGmnHJMURU12Vld1x8dM7vOWhQ4JGcKQ7cRqwX6leakyErp
2s/VJw9T7I0YuZsE4T4397DCUjZAGhf4xp2ZLjQQXbTuPV+6QX2PfdhskxamhtbLKyEJ83kVS7eJ
Dh+yw5VxCShUmddVMdc6eZHnnI2xEYBybemu10OgA6ViI7QZ3mDEgn69qP3sRi28ZdeZd7aEpZDU
AYa2LG+jNyJOUo5z6wODRmHkOhP0y7ZRt0nKjciFrnyIC062EL6JCWotnWgiEs11cWfL9Z1oZe/9
yKZe6s4SrVz3nXUBEmFWJP4MRFnLnoJ0hU5yXGG2XEXtmdvkp6UA6bEATBGnm0qm+wIcEVecwfdS
ki0QOFH6vhswOY59JZdhjiBjM0sAwlKNRa4EafwZnTDMXZVkWRj9E3S+zwKmolOx8c4bymx2n4JY
gEFdmB/BrRGNou2M0uwDdYLbXieMSUSuJjQRThu1Re9Y1KILHATNs6yPUBdWHhNduLBi4VSMSdQg
RwCw4O6hVOtA9imTcKUG7jtXclDqsx9Tyd/UaTVVh7prZqfeZSTDEujbeaKxSPIGWHAYimsvhboK
phxhtKR7qLzsygqcs1o3XG4c9RogxTqL2hukQ4hlrfxjrCJLzhq7hz4WbihHT7OuWSd6e4b5x6Wc
ikjnlyQvLhWIP18++9+yO/6vvWHpoCcwf5YTuKoeBzk+2gJl8YXRP/z02cf0NvnXfunnA70IGcB/
RMjgJyIIMrfMIcjz+Ws9f+efjRLuUEqoPjO8SuEMIKVBwU18/jBgmEAe2f9YNk5gBulIBe1req+m
548m4OfPtp/Jn//Oz7754/NLWX/+7/80TVqI0mGp8U8/v36i4x49oFkPH9xQRCyl+a/nD1hWaprH
9fzQnkc/v3ZiaIOahoGTxusXL53IiF+oUFP26wIVjGN7fmqw+v5rfdu0f/r9Dwt8KOhaON4/f95O
g3IioklJ6xLE88uPj24aeFGog7ypuP/paRjMWyRDBb+9f92sq9erQT8Bs01lTNqfN0e1DQCaY9M+
+vlVmfcL4v3rcn/9/PQQdERfwJwf7zLQaIyMnQYQ/KoKXkQZJoMP8/p2Gjhyoc4qHBbHtg1UEPP7
rzXiNKC/pOAvLVnGD5eBfiKJsm5CYNj/+Bh3g4541dhlgJm3BtiAI/GH06DA8+DA1OT9sXNEp4FE
TqzAt6RjOPY81EWkjUURa8sfbAT9RObaQJRF+TpBx7YfuNSNf8O1oOl0TMmdvj7n6/PA4FiEm6NT
qXr+HGGQAOln6B+PWw0EyRp8KAwj95+DWGloPhMmgBd9+fkRno5gNP8NuYKqKKYsf1kNB7mCSaw0
8LJkfJiGzxGGzJzs0r8hVuARDRY96+r1boDjhtofDBFl//xgEI7vUAAAMXY36MOuV0V1SD7fPj+l
cWBJ+vGeBtA6zNHbwDgBfiKxAF7e88FpIJ+YBqkpFMXjXQYWt+TYZaCcUMgeFDW/nXpvVwNu4jpi
iEcXJFA5MERp9DbQTiQwRdIfLQMTQUiCEc14WSXHeBoq6mCgOe5uVImJLRi4f5A5YiGBEpUlv8Tm
RxQrDn4Xlj76NNBOYDtbSHXuQ6ABLvZ2G8CHJmFinew/x3cpIIhr7u+qEZkTuwFZVEN+SRyHdfV6
GoYEGttYKuRHOw0qId7o3aCdyEATRYDfb59fOjGRHNMN4yWj2i+7o9oNsmGYo59fOSF1JtTECfj5
c1BHGpCd7Dsyiv2PjzFhIEIYPQ24JHMvsPO/VU9f7wYSaC5NfA9eyknHeDeQ4Y9OHymucjGIqCXv
dz3P+XoaqLYQiFBkl/ar4Qg3hSoR0I6/IhXJIuJ4FRG+ngblBBXgocp8lAkDIi9jn58r0qS4TIr8
w2Ugn3Aomjq/cXx34+D7M/puJEQiUqaA/K16/Pr9U0VR2CckVUd7N+ImMb7GTqvJQkpmEDZ//nx3
GkiIpwzi6kc7DSr5zOhDkRCBaHAoJP/wijS4QQlMv8bTR3hFslKV0TU19QQCB3aB4rfD//WmQGZI
YyWYX4opx3hF/oDq8i803qCmoIeE6er+c3hFmsNFDKvlaAMmmZLS6E1Bx4EyMmnUy6Y4yKKot2vU
Hem7fJ2lYyutqeza0TUF47mEylXxEh8fTIN0MgAVBgGto10N6JIPxirjagokk0MjFoGx/es+uCnw
2lBEIibxG2bl2FYDG3owDhk3DfqJNRyBVJn+YBoUHXkHSu5HGz4PyJJ/w6bguuRtw7fbf94ekYMp
C6kWDK+jnQaKoC/dkBEVFnrzz1XlL5Wmg7OBxSJhAwPF8WjPBizkxx+R2gkSIKCdv2RTZGev4waF
6IomDK24I0wmdG38oUD3QdVEA5DC1/f8+vnBs7FNsC562SvHOA1wekdfEUAxBuCaiNTRjw4F6YST
kyaHeoxx4w/EOf903Agiiw6kQe39h8uACpNOmkV75uv0/J9ckQ//vJ/1H0zBwQhvoKsDBkUaToPn
z8FJQIKBqD1R45/PJ/+JuuxXMPDU9cLPzzBg77H4EVr4j37hCwj2+5+/AGAHlCuX2le6+vMvDqjg
/d/eQ2GH//2XNyDhZ5Dqqx9+Aa2+/ucvD/j9n/7hl/ryf668x3yXP7jd8+N2L19zb7j2Lt/FD4+7
t7T+F4Tyty/zHZ75a4D007H/8ffw+7H3XYvRY++KsPIOvvYeWDx26NvqB99633kcPbQXeb//evCt
93Dg0UM/ho9Y+O7eOMkPLdPn7sDY0W8qXmR9uEz2GeTosb1PXnUwJ/u61eiRd2X1H+e7/PHt6C9o
gtGj//ZLuPMPh37GNo8d+jLfucnhdCt7wPDYsS/C8uA774G4Y8fdPu6i3/92OPRzOjV26PMqfzzc
Ntg4DrjZ0UM/uo+fvfj3vx2cJS+1stHD7/Idft/ff/s93HPs8Ovd778efvF96jZ+5BCHrN//drDl
X9CJY0dfVfHj54S5+fIC98wQxXzuWowefZc7rld+N/gzhmrs4MskP9zz+/Ro9MBehcTOwUGo7BE/
o8fehbvvljjlqAFbOHbsWRIeTMhL8230wP/4e/Qpqb9fhC9owLHjTzlhi/hglbxgS8aPHRfljmPl
cPg9dGf08GF1OOf79vfogdmTv/8q3DzWj7l3EEq8AC1G/wmuzd9+Gf7Mwcn10rMbOz7KZ7/9crCN
Xqqb44d+cIkmioML9IXCMHr0YU6S+suO3B+JLzjo8WP/9osXHi7GfVts9NhJmfz+6y4+fJ37qsno
0Z+NpNlIwva3Xwre7OeDCdoDHsb/GTfJD0d+LnuNHnn38P163BcWxw7919z5LrL4Isn2TLj8IRf1
n8rd/prvDid6X/4Z/Z3/0MFk5Ddeh09vN88rUsnPv/SPsuqvnNHvc+0vXNgf/bO3hYThNx7Cx13+
l/8BAAD//w==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12</xdr:col>
      <xdr:colOff>63500</xdr:colOff>
      <xdr:row>8</xdr:row>
      <xdr:rowOff>38100</xdr:rowOff>
    </xdr:from>
    <xdr:to>
      <xdr:col>18</xdr:col>
      <xdr:colOff>596900</xdr:colOff>
      <xdr:row>22</xdr:row>
      <xdr:rowOff>114300</xdr:rowOff>
    </xdr:to>
    <mc:AlternateContent xmlns:mc="http://schemas.openxmlformats.org/markup-compatibility/2006">
      <mc:Choice xmlns:cx4="http://schemas.microsoft.com/office/drawing/2016/5/10/chartex" xmlns="" Requires="cx4">
        <xdr:graphicFrame macro="">
          <xdr:nvGraphicFramePr>
            <xdr:cNvPr id="2" name="Diagramm 1">
              <a:extLst>
                <a:ext uri="{FF2B5EF4-FFF2-40B4-BE49-F238E27FC236}">
                  <a16:creationId xmlns:a16="http://schemas.microsoft.com/office/drawing/2014/main" id="{5D339840-540D-0B41-8C1A-1BBD2955BD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
              <a:extLst>
                <a:ext uri="{FF2B5EF4-FFF2-40B4-BE49-F238E27FC236}">
                  <a16:creationId xmlns:a16="http://schemas.microsoft.com/office/drawing/2014/main" id="{00000000-0008-0000-0200-000002000000}"/>
                </a:ext>
              </a:extLst>
            </xdr:cNvPr>
            <xdr:cNvSpPr>
              <a:spLocks noTextEdit="1"/>
            </xdr:cNvSpPr>
          </xdr:nvSpPr>
          <xdr:spPr>
            <a:xfrm>
              <a:off x="8140700" y="1562100"/>
              <a:ext cx="4572000" cy="274320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2</xdr:col>
      <xdr:colOff>495300</xdr:colOff>
      <xdr:row>7</xdr:row>
      <xdr:rowOff>152400</xdr:rowOff>
    </xdr:from>
    <xdr:to>
      <xdr:col>9</xdr:col>
      <xdr:colOff>355600</xdr:colOff>
      <xdr:row>22</xdr:row>
      <xdr:rowOff>38100</xdr:rowOff>
    </xdr:to>
    <xdr:graphicFrame macro="">
      <xdr:nvGraphicFramePr>
        <xdr:cNvPr id="3" name="Diagramm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584200</xdr:colOff>
      <xdr:row>24</xdr:row>
      <xdr:rowOff>101600</xdr:rowOff>
    </xdr:from>
    <xdr:to>
      <xdr:col>14</xdr:col>
      <xdr:colOff>444500</xdr:colOff>
      <xdr:row>38</xdr:row>
      <xdr:rowOff>177800</xdr:rowOff>
    </xdr:to>
    <xdr:graphicFrame macro="">
      <xdr:nvGraphicFramePr>
        <xdr:cNvPr id="4" name="Diagramm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342900</xdr:colOff>
      <xdr:row>7</xdr:row>
      <xdr:rowOff>76200</xdr:rowOff>
    </xdr:from>
    <xdr:to>
      <xdr:col>12</xdr:col>
      <xdr:colOff>152400</xdr:colOff>
      <xdr:row>23</xdr:row>
      <xdr:rowOff>155569</xdr:rowOff>
    </xdr:to>
    <mc:AlternateContent xmlns:mc="http://schemas.openxmlformats.org/markup-compatibility/2006" xmlns:sle15="http://schemas.microsoft.com/office/drawing/2012/slicer">
      <mc:Choice Requires="sle15">
        <xdr:graphicFrame macro="">
          <xdr:nvGraphicFramePr>
            <xdr:cNvPr id="5" name="Judet/An">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Judet/An"/>
            </a:graphicData>
          </a:graphic>
        </xdr:graphicFrame>
      </mc:Choice>
      <mc:Fallback xmlns="">
        <xdr:sp macro="" textlink="">
          <xdr:nvSpPr>
            <xdr:cNvPr id="0" name=""/>
            <xdr:cNvSpPr>
              <a:spLocks noTextEdit="1"/>
            </xdr:cNvSpPr>
          </xdr:nvSpPr>
          <xdr:spPr>
            <a:xfrm>
              <a:off x="6400800" y="1409700"/>
              <a:ext cx="1828800" cy="3127369"/>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Judet_An" xr10:uid="{C90C6DA0-B8A5-4147-AFE1-F6A38A7BC343}" sourceName="Judet/An">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udet/An" xr10:uid="{9273F6E5-120B-D640-9446-D93F32B103E0}" cache="Datenschnitt_Judet_An" caption="Judet/A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70AA69-F50B-C245-BE5D-1FF4FDABE67A}" name="Tabelle1" displayName="Tabelle1" ref="A1:U43" totalsRowShown="0">
  <autoFilter ref="A1:U43" xr:uid="{3B70AA69-F50B-C245-BE5D-1FF4FDABE67A}"/>
  <tableColumns count="21">
    <tableColumn id="1" xr3:uid="{4893EC93-0F1B-DF4F-8BC1-0EAAEB9730F5}" name="Judet/An"/>
    <tableColumn id="2" xr3:uid="{9A7E8719-9AF8-CB42-9A0F-A093309D4E2F}" name="2008" dataDxfId="19"/>
    <tableColumn id="3" xr3:uid="{EE988963-0969-1247-A48E-6E8D9CC5D759}" name="2009" dataDxfId="18"/>
    <tableColumn id="4" xr3:uid="{E4A2047D-FE2E-8646-88D5-58CBD0D23D93}" name="2010" dataDxfId="17"/>
    <tableColumn id="5" xr3:uid="{703C45F9-54F7-EE40-BF02-B85A7699751D}" name="2011" dataDxfId="16"/>
    <tableColumn id="6" xr3:uid="{EBD40BE8-FED9-824F-9557-639891798B93}" name="2012" dataDxfId="15"/>
    <tableColumn id="7" xr3:uid="{C1ED9C2E-CD92-B54E-85E6-ECB3B3A41393}" name="2013" dataDxfId="14"/>
    <tableColumn id="8" xr3:uid="{DCBEB565-3B3A-FB48-B2B7-D1B04059FF18}" name="2014" dataDxfId="13"/>
    <tableColumn id="9" xr3:uid="{A4FBB048-F240-4248-A377-DF59EF669494}" name="2015" dataDxfId="12"/>
    <tableColumn id="10" xr3:uid="{6CFF81B5-D91D-C441-BE9F-FF9245473940}" name="2016" dataDxfId="11"/>
    <tableColumn id="11" xr3:uid="{F54F8A8D-3644-8243-9991-158A15CE9CA2}" name="2017" dataDxfId="10"/>
    <tableColumn id="12" xr3:uid="{561DF0B4-D06A-C04B-A1B9-E927E081CC6B}" name="2018" dataDxfId="9"/>
    <tableColumn id="13" xr3:uid="{78E6878C-7AA8-884D-9D4A-57419CD55B56}" name="2019" dataDxfId="8"/>
    <tableColumn id="14" xr3:uid="{1E87AB22-B41E-EF40-B40B-BA8F91CF2F33}" name="2020" dataDxfId="7"/>
    <tableColumn id="15" xr3:uid="{07D68754-8EB7-1B4C-BF0F-997C6B48AF24}" name="2021" dataDxfId="6"/>
    <tableColumn id="16" xr3:uid="{39ABBA58-8360-A643-8E8A-90DAA1F45FF7}" name="2022" dataDxfId="5"/>
    <tableColumn id="17" xr3:uid="{B0206375-7252-CD4C-AB16-68DF6775870A}" name="2023" dataDxfId="4"/>
    <tableColumn id="18" xr3:uid="{93DF3985-B8C2-C144-8026-5F597AFEEF94}" name="2024" dataDxfId="3"/>
    <tableColumn id="19" xr3:uid="{A39531EB-E0AE-164B-BE25-AB9385A27E21}" name="Populatie" dataDxfId="2">
      <calculatedColumnFormula>VLOOKUP(A2, Populatie!A:B, 2, 0)</calculatedColumnFormula>
    </tableColumn>
    <tableColumn id="20" xr3:uid="{CD5CE5F4-2523-0F47-8BC9-B067B6780EA3}" name="Densitate" dataDxfId="1">
      <calculatedColumnFormula>(R2/S2)*1000</calculatedColumnFormula>
    </tableColumn>
    <tableColumn id="21" xr3:uid="{525D8586-F982-DF43-B7BE-F8E425FC64E8}" name="Crestere Procentuala" dataDxfId="0">
      <calculatedColumnFormula>(R2-B2)/B2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74B2-53ED-471D-AEAB-AD5D11AFD4CB}">
  <dimension ref="A1:U43"/>
  <sheetViews>
    <sheetView tabSelected="1" topLeftCell="A6" zoomScale="90" workbookViewId="0">
      <selection activeCell="U1" sqref="U1"/>
    </sheetView>
  </sheetViews>
  <sheetFormatPr defaultColWidth="8.85546875" defaultRowHeight="15"/>
  <cols>
    <col min="1" max="1" width="10.140625" customWidth="1"/>
    <col min="2" max="18" width="9" bestFit="1" customWidth="1"/>
    <col min="19" max="19" width="10.28515625" customWidth="1"/>
    <col min="20" max="20" width="10.42578125" customWidth="1"/>
    <col min="21" max="21" width="19.2851562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s="3">
        <v>0.7</v>
      </c>
      <c r="C2" s="3">
        <v>0.6</v>
      </c>
      <c r="D2" s="3">
        <v>0.5</v>
      </c>
      <c r="E2" s="3">
        <v>0.5</v>
      </c>
      <c r="F2" s="3">
        <v>0.5</v>
      </c>
      <c r="G2" s="3">
        <v>0.5</v>
      </c>
      <c r="H2" s="3">
        <v>0.5</v>
      </c>
      <c r="I2" s="3">
        <v>0.5</v>
      </c>
      <c r="J2" s="3">
        <v>0.6</v>
      </c>
      <c r="K2" s="3">
        <v>0.6</v>
      </c>
      <c r="L2" s="3">
        <v>0.6</v>
      </c>
      <c r="M2" s="3">
        <v>0.6</v>
      </c>
      <c r="N2" s="3">
        <v>0.7</v>
      </c>
      <c r="O2" s="3">
        <v>0.8</v>
      </c>
      <c r="P2" s="3">
        <v>1.2</v>
      </c>
      <c r="Q2" s="3">
        <v>1.2</v>
      </c>
      <c r="R2" s="3">
        <v>1.3</v>
      </c>
      <c r="S2" s="3">
        <f>VLOOKUP(A2, Populatie!A:B, 2, 0)</f>
        <v>325.89999999999998</v>
      </c>
      <c r="T2" s="3">
        <f>(R2/S2)*1000</f>
        <v>3.988953666768948</v>
      </c>
      <c r="U2" s="3">
        <f>(R2-B2)/B2</f>
        <v>0.85714285714285732</v>
      </c>
    </row>
    <row r="3" spans="1:21">
      <c r="A3" t="s">
        <v>22</v>
      </c>
      <c r="B3" s="3">
        <v>1.5</v>
      </c>
      <c r="C3" s="3">
        <v>1.4</v>
      </c>
      <c r="D3" s="3">
        <v>1.2</v>
      </c>
      <c r="E3" s="3">
        <v>1.3</v>
      </c>
      <c r="F3" s="3">
        <v>1.6</v>
      </c>
      <c r="G3" s="3">
        <v>1.4</v>
      </c>
      <c r="H3" s="3">
        <v>1.3</v>
      </c>
      <c r="I3" s="3">
        <v>1.7</v>
      </c>
      <c r="J3" s="3">
        <v>1.6</v>
      </c>
      <c r="K3" s="3">
        <v>1.5</v>
      </c>
      <c r="L3" s="3">
        <v>1.5</v>
      </c>
      <c r="M3" s="3">
        <v>1.5</v>
      </c>
      <c r="N3" s="3">
        <v>1.5</v>
      </c>
      <c r="O3" s="3">
        <v>1.8</v>
      </c>
      <c r="P3" s="3">
        <v>1.8</v>
      </c>
      <c r="Q3" s="3">
        <v>2.1</v>
      </c>
      <c r="R3" s="3">
        <v>2.2000000000000002</v>
      </c>
      <c r="S3" s="3">
        <f>VLOOKUP(A3, Populatie!A:B, 2, 0)</f>
        <v>410.1</v>
      </c>
      <c r="T3" s="3">
        <f t="shared" ref="T3:T43" si="0">(R3/S3)*1000</f>
        <v>5.3645452328700314</v>
      </c>
      <c r="U3" s="3">
        <f t="shared" ref="U3:U43" si="1">(R3-B3)/B3</f>
        <v>0.46666666666666679</v>
      </c>
    </row>
    <row r="4" spans="1:21">
      <c r="A4" t="s">
        <v>23</v>
      </c>
      <c r="B4" s="3">
        <v>1.1000000000000001</v>
      </c>
      <c r="C4" s="3">
        <v>0.8</v>
      </c>
      <c r="D4" s="3">
        <v>0.8</v>
      </c>
      <c r="E4" s="3">
        <v>0.9</v>
      </c>
      <c r="F4" s="3">
        <v>1.1000000000000001</v>
      </c>
      <c r="G4" s="3">
        <v>1.1000000000000001</v>
      </c>
      <c r="H4" s="3">
        <v>1.5</v>
      </c>
      <c r="I4" s="3">
        <v>1.8</v>
      </c>
      <c r="J4" s="3">
        <v>2.2000000000000002</v>
      </c>
      <c r="K4" s="3">
        <v>2.7</v>
      </c>
      <c r="L4" s="3">
        <v>3</v>
      </c>
      <c r="M4" s="3">
        <v>3</v>
      </c>
      <c r="N4" s="3">
        <v>2.8</v>
      </c>
      <c r="O4" s="3">
        <v>3.3</v>
      </c>
      <c r="P4" s="3">
        <v>3.6</v>
      </c>
      <c r="Q4" s="3">
        <v>3.5</v>
      </c>
      <c r="R4" s="3">
        <v>3.5</v>
      </c>
      <c r="S4" s="3">
        <f>VLOOKUP(A4, Populatie!A:B, 2, 0)</f>
        <v>569.9</v>
      </c>
      <c r="T4" s="3">
        <f t="shared" si="0"/>
        <v>6.1414283207580276</v>
      </c>
      <c r="U4" s="3">
        <f t="shared" si="1"/>
        <v>2.1818181818181817</v>
      </c>
    </row>
    <row r="5" spans="1:21">
      <c r="A5" t="s">
        <v>24</v>
      </c>
      <c r="B5" s="3">
        <v>1.5</v>
      </c>
      <c r="C5" s="3">
        <v>1.2</v>
      </c>
      <c r="D5" s="3">
        <v>1.4</v>
      </c>
      <c r="E5" s="3">
        <v>1.3</v>
      </c>
      <c r="F5" s="3">
        <v>1.5</v>
      </c>
      <c r="G5" s="3">
        <v>1.6</v>
      </c>
      <c r="H5" s="3">
        <v>1.4</v>
      </c>
      <c r="I5" s="3">
        <v>1.5</v>
      </c>
      <c r="J5" s="3">
        <v>1.2</v>
      </c>
      <c r="K5" s="3">
        <v>1.3</v>
      </c>
      <c r="L5" s="3">
        <v>1.7</v>
      </c>
      <c r="M5" s="3">
        <v>1.8</v>
      </c>
      <c r="N5" s="3">
        <v>1.9</v>
      </c>
      <c r="O5" s="3">
        <v>2</v>
      </c>
      <c r="P5" s="3">
        <v>2.2000000000000002</v>
      </c>
      <c r="Q5" s="3">
        <v>2.2000000000000002</v>
      </c>
      <c r="R5" s="3">
        <v>2.2000000000000002</v>
      </c>
      <c r="S5" s="3">
        <f>VLOOKUP(A5, Populatie!A:B, 2, 0)</f>
        <v>601.29999999999995</v>
      </c>
      <c r="T5" s="3">
        <f t="shared" si="0"/>
        <v>3.6587393979710634</v>
      </c>
      <c r="U5" s="3">
        <f t="shared" si="1"/>
        <v>0.46666666666666679</v>
      </c>
    </row>
    <row r="6" spans="1:21">
      <c r="A6" t="s">
        <v>25</v>
      </c>
      <c r="B6" s="3">
        <v>2.1</v>
      </c>
      <c r="C6" s="3">
        <v>1.6</v>
      </c>
      <c r="D6" s="3">
        <v>1.6</v>
      </c>
      <c r="E6" s="3">
        <v>1.4</v>
      </c>
      <c r="F6" s="3">
        <v>1.8</v>
      </c>
      <c r="G6" s="3">
        <v>1.9</v>
      </c>
      <c r="H6" s="3">
        <v>1.7</v>
      </c>
      <c r="I6" s="3">
        <v>2</v>
      </c>
      <c r="J6" s="3">
        <v>2.2000000000000002</v>
      </c>
      <c r="K6" s="3">
        <v>2.4</v>
      </c>
      <c r="L6" s="3">
        <v>2.2999999999999998</v>
      </c>
      <c r="M6" s="3">
        <v>2.5</v>
      </c>
      <c r="N6" s="3">
        <v>2.5</v>
      </c>
      <c r="O6" s="3">
        <v>3.4</v>
      </c>
      <c r="P6" s="3">
        <v>3.6</v>
      </c>
      <c r="Q6" s="3">
        <v>3.6</v>
      </c>
      <c r="R6" s="3">
        <v>3.6</v>
      </c>
      <c r="S6" s="3">
        <f>VLOOKUP(A6, Populatie!A:B, 2, 0)</f>
        <v>551.20000000000005</v>
      </c>
      <c r="T6" s="3">
        <f t="shared" si="0"/>
        <v>6.531204644412191</v>
      </c>
      <c r="U6" s="3">
        <f t="shared" si="1"/>
        <v>0.7142857142857143</v>
      </c>
    </row>
    <row r="7" spans="1:21">
      <c r="A7" t="s">
        <v>26</v>
      </c>
      <c r="B7" s="3">
        <v>0.3</v>
      </c>
      <c r="C7" s="3">
        <v>0.3</v>
      </c>
      <c r="D7" s="3">
        <v>0.3</v>
      </c>
      <c r="E7" s="3">
        <v>0.4</v>
      </c>
      <c r="F7" s="3">
        <v>0.4</v>
      </c>
      <c r="G7" s="3">
        <v>0.4</v>
      </c>
      <c r="H7" s="3">
        <v>0.4</v>
      </c>
      <c r="I7" s="3">
        <v>0.4</v>
      </c>
      <c r="J7" s="3">
        <v>0.4</v>
      </c>
      <c r="K7" s="3">
        <v>0.4</v>
      </c>
      <c r="L7" s="3">
        <v>0.5</v>
      </c>
      <c r="M7" s="3">
        <v>0.3</v>
      </c>
      <c r="N7" s="3">
        <v>0.3</v>
      </c>
      <c r="O7" s="3">
        <v>0.5</v>
      </c>
      <c r="P7" s="3">
        <v>0.4</v>
      </c>
      <c r="Q7" s="3">
        <v>0.5</v>
      </c>
      <c r="R7" s="3">
        <v>0.5</v>
      </c>
      <c r="S7" s="3">
        <f>VLOOKUP(A7, Populatie!A:B, 2, 0)</f>
        <v>295.89999999999998</v>
      </c>
      <c r="T7" s="3">
        <f t="shared" si="0"/>
        <v>1.6897600540723219</v>
      </c>
      <c r="U7" s="3">
        <f t="shared" si="1"/>
        <v>0.66666666666666674</v>
      </c>
    </row>
    <row r="8" spans="1:21">
      <c r="A8" t="s">
        <v>27</v>
      </c>
      <c r="B8" s="3">
        <v>0.6</v>
      </c>
      <c r="C8" s="3">
        <v>0.5</v>
      </c>
      <c r="D8" s="3">
        <v>0.4</v>
      </c>
      <c r="E8" s="3">
        <v>0.5</v>
      </c>
      <c r="F8" s="3">
        <v>0.5</v>
      </c>
      <c r="G8" s="3">
        <v>0.5</v>
      </c>
      <c r="H8" s="3">
        <v>0.5</v>
      </c>
      <c r="I8" s="3">
        <v>0.5</v>
      </c>
      <c r="J8" s="3">
        <v>0.6</v>
      </c>
      <c r="K8" s="3">
        <v>0.5</v>
      </c>
      <c r="L8" s="3">
        <v>0.5</v>
      </c>
      <c r="M8" s="3">
        <v>0.6</v>
      </c>
      <c r="N8" s="3">
        <v>0.5</v>
      </c>
      <c r="O8" s="3">
        <v>0.7</v>
      </c>
      <c r="P8" s="3">
        <v>0.6</v>
      </c>
      <c r="Q8" s="3">
        <v>0.9</v>
      </c>
      <c r="R8" s="3">
        <v>0.9</v>
      </c>
      <c r="S8" s="3">
        <f>VLOOKUP(A8, Populatie!A:B, 2, 0)</f>
        <v>392.8</v>
      </c>
      <c r="T8" s="3">
        <f t="shared" si="0"/>
        <v>2.2912423625254581</v>
      </c>
      <c r="U8" s="3">
        <f t="shared" si="1"/>
        <v>0.50000000000000011</v>
      </c>
    </row>
    <row r="9" spans="1:21">
      <c r="A9" t="s">
        <v>28</v>
      </c>
      <c r="B9" s="3">
        <v>0.7</v>
      </c>
      <c r="C9" s="3">
        <v>0.5</v>
      </c>
      <c r="D9" s="3">
        <v>0.4</v>
      </c>
      <c r="E9" s="3">
        <v>0.3</v>
      </c>
      <c r="F9" s="3">
        <v>0.5</v>
      </c>
      <c r="G9" s="3">
        <v>0.6</v>
      </c>
      <c r="H9" s="3">
        <v>0.6</v>
      </c>
      <c r="I9" s="3">
        <v>0.5</v>
      </c>
      <c r="J9" s="3">
        <v>0.6</v>
      </c>
      <c r="K9" s="3">
        <v>0.8</v>
      </c>
      <c r="L9" s="3">
        <v>0.8</v>
      </c>
      <c r="M9" s="3">
        <v>0.8</v>
      </c>
      <c r="N9" s="3">
        <v>0.7</v>
      </c>
      <c r="O9" s="3">
        <v>0.7</v>
      </c>
      <c r="P9" s="3">
        <v>0.8</v>
      </c>
      <c r="Q9" s="3">
        <v>0.9</v>
      </c>
      <c r="R9" s="3">
        <v>0.7</v>
      </c>
      <c r="S9" s="3">
        <f>VLOOKUP(A9, Populatie!A:B, 2, 0)</f>
        <v>281.39999999999998</v>
      </c>
      <c r="T9" s="3">
        <f t="shared" si="0"/>
        <v>2.4875621890547261</v>
      </c>
      <c r="U9" s="3">
        <f t="shared" si="1"/>
        <v>0</v>
      </c>
    </row>
    <row r="10" spans="1:21">
      <c r="A10" t="s">
        <v>29</v>
      </c>
      <c r="B10" s="3">
        <v>3.2</v>
      </c>
      <c r="C10" s="3">
        <v>3.4</v>
      </c>
      <c r="D10" s="3">
        <v>4</v>
      </c>
      <c r="E10" s="3">
        <v>4.2</v>
      </c>
      <c r="F10" s="3">
        <v>5.0999999999999996</v>
      </c>
      <c r="G10" s="3">
        <v>5.0999999999999996</v>
      </c>
      <c r="H10" s="3">
        <v>5.2</v>
      </c>
      <c r="I10" s="3">
        <v>6.9</v>
      </c>
      <c r="J10" s="3">
        <v>7.6</v>
      </c>
      <c r="K10" s="3">
        <v>7.1</v>
      </c>
      <c r="L10" s="3">
        <v>7.2</v>
      </c>
      <c r="M10" s="3">
        <v>7.4</v>
      </c>
      <c r="N10" s="3">
        <v>7.7</v>
      </c>
      <c r="O10" s="3">
        <v>8.1999999999999993</v>
      </c>
      <c r="P10" s="3">
        <v>8.6999999999999993</v>
      </c>
      <c r="Q10" s="3">
        <v>9.1999999999999993</v>
      </c>
      <c r="R10" s="3">
        <v>9.1999999999999993</v>
      </c>
      <c r="S10" s="3">
        <f>VLOOKUP(A10, Populatie!A:B, 2, 0)</f>
        <v>546.6</v>
      </c>
      <c r="T10" s="3">
        <f t="shared" si="0"/>
        <v>16.831320892791801</v>
      </c>
      <c r="U10" s="3">
        <f t="shared" si="1"/>
        <v>1.8749999999999996</v>
      </c>
    </row>
    <row r="11" spans="1:21">
      <c r="A11" t="s">
        <v>30</v>
      </c>
      <c r="B11" s="3">
        <v>0.7</v>
      </c>
      <c r="C11" s="3">
        <v>0.6</v>
      </c>
      <c r="D11" s="3">
        <v>0.5</v>
      </c>
      <c r="E11" s="3">
        <v>0.5</v>
      </c>
      <c r="F11" s="3">
        <v>0.5</v>
      </c>
      <c r="G11" s="3">
        <v>0.6</v>
      </c>
      <c r="H11" s="3">
        <v>0.6</v>
      </c>
      <c r="I11" s="3">
        <v>0.8</v>
      </c>
      <c r="J11" s="3">
        <v>0.7</v>
      </c>
      <c r="K11" s="3">
        <v>0.7</v>
      </c>
      <c r="L11" s="3">
        <v>0.7</v>
      </c>
      <c r="M11" s="3">
        <v>0.7</v>
      </c>
      <c r="N11" s="3">
        <v>0.6</v>
      </c>
      <c r="O11" s="3">
        <v>0.8</v>
      </c>
      <c r="P11" s="3">
        <v>0.8</v>
      </c>
      <c r="Q11" s="3">
        <v>0.8</v>
      </c>
      <c r="R11" s="3">
        <v>1</v>
      </c>
      <c r="S11" s="3">
        <f>VLOOKUP(A11, Populatie!A:B, 2, 0)</f>
        <v>404.9</v>
      </c>
      <c r="T11" s="3">
        <f t="shared" si="0"/>
        <v>2.4697456162015312</v>
      </c>
      <c r="U11" s="3">
        <f t="shared" si="1"/>
        <v>0.42857142857142866</v>
      </c>
    </row>
    <row r="12" spans="1:21">
      <c r="A12" t="s">
        <v>31</v>
      </c>
      <c r="B12" s="3">
        <v>0.3</v>
      </c>
      <c r="C12" s="3">
        <v>0.3</v>
      </c>
      <c r="D12" s="3">
        <v>0.3</v>
      </c>
      <c r="E12" s="3">
        <v>0.3</v>
      </c>
      <c r="F12" s="3">
        <v>0.3</v>
      </c>
      <c r="G12" s="3">
        <v>0.4</v>
      </c>
      <c r="H12" s="3">
        <v>0.3</v>
      </c>
      <c r="I12" s="3">
        <v>0.3</v>
      </c>
      <c r="J12" s="3">
        <v>0.5</v>
      </c>
      <c r="K12" s="3">
        <v>0.5</v>
      </c>
      <c r="L12" s="3">
        <v>0.5</v>
      </c>
      <c r="M12" s="3">
        <v>0.5</v>
      </c>
      <c r="N12" s="3">
        <v>0.4</v>
      </c>
      <c r="O12" s="3">
        <v>0.5</v>
      </c>
      <c r="P12" s="3">
        <v>0.4</v>
      </c>
      <c r="Q12" s="3">
        <v>0.4</v>
      </c>
      <c r="R12" s="3">
        <v>0.5</v>
      </c>
      <c r="S12" s="3">
        <f>VLOOKUP(A12, Populatie!A:B, 2, 0)</f>
        <v>283.39999999999998</v>
      </c>
      <c r="T12" s="3">
        <f t="shared" si="0"/>
        <v>1.7642907551164433</v>
      </c>
      <c r="U12" s="3">
        <f t="shared" si="1"/>
        <v>0.66666666666666674</v>
      </c>
    </row>
    <row r="13" spans="1:21">
      <c r="A13" t="s">
        <v>32</v>
      </c>
      <c r="B13" s="3">
        <v>0.5</v>
      </c>
      <c r="C13" s="3">
        <v>0.4</v>
      </c>
      <c r="D13" s="3">
        <v>0.4</v>
      </c>
      <c r="E13" s="3">
        <v>0.3</v>
      </c>
      <c r="F13" s="3">
        <v>0.4</v>
      </c>
      <c r="G13" s="3">
        <v>0.5</v>
      </c>
      <c r="H13" s="3">
        <v>0.5</v>
      </c>
      <c r="I13" s="3">
        <v>0.5</v>
      </c>
      <c r="J13" s="3">
        <v>0.5</v>
      </c>
      <c r="K13" s="3">
        <v>0.5</v>
      </c>
      <c r="L13" s="3">
        <v>0.5</v>
      </c>
      <c r="M13" s="3">
        <v>0.4</v>
      </c>
      <c r="N13" s="3">
        <v>0.4</v>
      </c>
      <c r="O13" s="3">
        <v>0.6</v>
      </c>
      <c r="P13" s="3">
        <v>0.6</v>
      </c>
      <c r="Q13" s="3">
        <v>0.6</v>
      </c>
      <c r="R13" s="3">
        <v>0.6</v>
      </c>
      <c r="S13" s="3">
        <f>VLOOKUP(A13, Populatie!A:B, 2, 0)</f>
        <v>246.5</v>
      </c>
      <c r="T13" s="3">
        <f t="shared" si="0"/>
        <v>2.4340770791075048</v>
      </c>
      <c r="U13" s="3">
        <f t="shared" si="1"/>
        <v>0.19999999999999996</v>
      </c>
    </row>
    <row r="14" spans="1:21">
      <c r="A14" t="s">
        <v>33</v>
      </c>
      <c r="B14" s="3">
        <v>5.7</v>
      </c>
      <c r="C14" s="3">
        <v>6.4</v>
      </c>
      <c r="D14" s="3">
        <v>9.1</v>
      </c>
      <c r="E14" s="3">
        <v>9.5</v>
      </c>
      <c r="F14" s="3">
        <v>11</v>
      </c>
      <c r="G14" s="3">
        <v>12.7</v>
      </c>
      <c r="H14" s="3">
        <v>14.3</v>
      </c>
      <c r="I14" s="3">
        <v>16.3</v>
      </c>
      <c r="J14" s="3">
        <v>19.2</v>
      </c>
      <c r="K14" s="3">
        <v>21</v>
      </c>
      <c r="L14" s="3">
        <v>22</v>
      </c>
      <c r="M14" s="3">
        <v>23.4</v>
      </c>
      <c r="N14" s="3">
        <v>25.3</v>
      </c>
      <c r="O14" s="3">
        <v>29.5</v>
      </c>
      <c r="P14" s="3">
        <v>32.6</v>
      </c>
      <c r="Q14" s="3">
        <v>32.6</v>
      </c>
      <c r="R14" s="3">
        <v>31.7</v>
      </c>
      <c r="S14" s="3">
        <f>VLOOKUP(A14, Populatie!A:B, 2, 0)</f>
        <v>679.1</v>
      </c>
      <c r="T14" s="3">
        <f t="shared" si="0"/>
        <v>46.679428655573545</v>
      </c>
      <c r="U14" s="3">
        <f t="shared" si="1"/>
        <v>4.5614035087719298</v>
      </c>
    </row>
    <row r="15" spans="1:21">
      <c r="A15" t="s">
        <v>34</v>
      </c>
      <c r="B15" s="3">
        <v>2.6</v>
      </c>
      <c r="C15" s="3">
        <v>2.6</v>
      </c>
      <c r="D15" s="3">
        <v>4.4000000000000004</v>
      </c>
      <c r="E15" s="3">
        <v>3.7</v>
      </c>
      <c r="F15" s="3">
        <v>4</v>
      </c>
      <c r="G15" s="3">
        <v>4.0999999999999996</v>
      </c>
      <c r="H15" s="3">
        <v>4.3</v>
      </c>
      <c r="I15" s="3">
        <v>5.4</v>
      </c>
      <c r="J15" s="3">
        <v>5.6</v>
      </c>
      <c r="K15" s="3">
        <v>4.7</v>
      </c>
      <c r="L15" s="3">
        <v>3.9</v>
      </c>
      <c r="M15" s="3">
        <v>3.8</v>
      </c>
      <c r="N15" s="3">
        <v>3.5</v>
      </c>
      <c r="O15" s="3">
        <v>3.9</v>
      </c>
      <c r="P15" s="3">
        <v>4.0999999999999996</v>
      </c>
      <c r="Q15" s="3">
        <v>3.8</v>
      </c>
      <c r="R15" s="3">
        <v>3.7</v>
      </c>
      <c r="S15" s="3">
        <f>VLOOKUP(A15, Populatie!A:B, 2, 0)</f>
        <v>655.9</v>
      </c>
      <c r="T15" s="3">
        <f t="shared" si="0"/>
        <v>5.6411038268028664</v>
      </c>
      <c r="U15" s="3">
        <f t="shared" si="1"/>
        <v>0.42307692307692307</v>
      </c>
    </row>
    <row r="16" spans="1:21">
      <c r="A16" t="s">
        <v>35</v>
      </c>
      <c r="B16" s="3">
        <v>0.7</v>
      </c>
      <c r="C16" s="3">
        <v>0.5</v>
      </c>
      <c r="D16" s="3">
        <v>0.5</v>
      </c>
      <c r="E16" s="3">
        <v>0.4</v>
      </c>
      <c r="F16" s="3">
        <v>0.6</v>
      </c>
      <c r="G16" s="3">
        <v>0.6</v>
      </c>
      <c r="H16" s="3">
        <v>0.5</v>
      </c>
      <c r="I16" s="3">
        <v>0.6</v>
      </c>
      <c r="J16" s="3">
        <v>0.6</v>
      </c>
      <c r="K16" s="3">
        <v>0.7</v>
      </c>
      <c r="L16" s="3">
        <v>0.7</v>
      </c>
      <c r="M16" s="3">
        <v>0.7</v>
      </c>
      <c r="N16" s="3">
        <v>0.7</v>
      </c>
      <c r="O16" s="3">
        <v>0.8</v>
      </c>
      <c r="P16" s="3">
        <v>1</v>
      </c>
      <c r="Q16" s="3">
        <v>0.9</v>
      </c>
      <c r="R16" s="3">
        <v>0.9</v>
      </c>
      <c r="S16" s="3">
        <f>VLOOKUP(A16, Populatie!A:B, 2, 0)</f>
        <v>200</v>
      </c>
      <c r="T16" s="3">
        <f t="shared" si="0"/>
        <v>4.5000000000000009</v>
      </c>
      <c r="U16" s="3">
        <f t="shared" si="1"/>
        <v>0.28571428571428581</v>
      </c>
    </row>
    <row r="17" spans="1:21">
      <c r="A17" t="s">
        <v>36</v>
      </c>
      <c r="B17" s="3">
        <v>0.5</v>
      </c>
      <c r="C17" s="3">
        <v>0.5</v>
      </c>
      <c r="D17" s="3">
        <v>0.5</v>
      </c>
      <c r="E17" s="3">
        <v>0.5</v>
      </c>
      <c r="F17" s="3">
        <v>0.7</v>
      </c>
      <c r="G17" s="3">
        <v>0.5</v>
      </c>
      <c r="H17" s="3">
        <v>0.6</v>
      </c>
      <c r="I17" s="3">
        <v>0.7</v>
      </c>
      <c r="J17" s="3">
        <v>0.7</v>
      </c>
      <c r="K17" s="3">
        <v>0.7</v>
      </c>
      <c r="L17" s="3">
        <v>0.8</v>
      </c>
      <c r="M17" s="3">
        <v>0.9</v>
      </c>
      <c r="N17" s="3">
        <v>0.8</v>
      </c>
      <c r="O17" s="3">
        <v>0.9</v>
      </c>
      <c r="P17" s="3">
        <v>1</v>
      </c>
      <c r="Q17" s="3">
        <v>0.9</v>
      </c>
      <c r="R17" s="3">
        <v>1.1000000000000001</v>
      </c>
      <c r="S17" s="3">
        <f>VLOOKUP(A17, Populatie!A:B, 2, 0)</f>
        <v>479.4</v>
      </c>
      <c r="T17" s="3">
        <f t="shared" si="0"/>
        <v>2.2945348352106802</v>
      </c>
      <c r="U17" s="3">
        <f t="shared" si="1"/>
        <v>1.2000000000000002</v>
      </c>
    </row>
    <row r="18" spans="1:21">
      <c r="A18" t="s">
        <v>37</v>
      </c>
      <c r="B18" s="3">
        <v>2.1</v>
      </c>
      <c r="C18" s="3">
        <v>2</v>
      </c>
      <c r="D18" s="3">
        <v>1.8</v>
      </c>
      <c r="E18" s="3">
        <v>1.8</v>
      </c>
      <c r="F18" s="3">
        <v>2</v>
      </c>
      <c r="G18" s="3">
        <v>2.1</v>
      </c>
      <c r="H18" s="3">
        <v>2.9</v>
      </c>
      <c r="I18" s="3">
        <v>3.3</v>
      </c>
      <c r="J18" s="3">
        <v>3.4</v>
      </c>
      <c r="K18" s="3">
        <v>3.4</v>
      </c>
      <c r="L18" s="3">
        <v>3.6</v>
      </c>
      <c r="M18" s="3">
        <v>3.8</v>
      </c>
      <c r="N18" s="3">
        <v>3.8</v>
      </c>
      <c r="O18" s="3">
        <v>4.3</v>
      </c>
      <c r="P18" s="3">
        <v>4.5999999999999996</v>
      </c>
      <c r="Q18" s="3">
        <v>4.5</v>
      </c>
      <c r="R18" s="3">
        <v>4.5999999999999996</v>
      </c>
      <c r="S18" s="3">
        <f>VLOOKUP(A18, Populatie!A:B, 2, 0)</f>
        <v>599.4</v>
      </c>
      <c r="T18" s="3">
        <f t="shared" si="0"/>
        <v>7.6743410076743404</v>
      </c>
      <c r="U18" s="3">
        <f t="shared" si="1"/>
        <v>1.1904761904761902</v>
      </c>
    </row>
    <row r="19" spans="1:21">
      <c r="A19" t="s">
        <v>38</v>
      </c>
      <c r="B19" s="3">
        <v>1.9</v>
      </c>
      <c r="C19" s="3">
        <v>1.6</v>
      </c>
      <c r="D19" s="3">
        <v>1.6</v>
      </c>
      <c r="E19" s="3">
        <v>1.7</v>
      </c>
      <c r="F19" s="3">
        <v>1.9</v>
      </c>
      <c r="G19" s="3">
        <v>2.5</v>
      </c>
      <c r="H19" s="3">
        <v>2.4</v>
      </c>
      <c r="I19" s="3">
        <v>2.9</v>
      </c>
      <c r="J19" s="3">
        <v>2.9</v>
      </c>
      <c r="K19" s="3">
        <v>3</v>
      </c>
      <c r="L19" s="3">
        <v>2.9</v>
      </c>
      <c r="M19" s="3">
        <v>3.1</v>
      </c>
      <c r="N19" s="3">
        <v>3.1</v>
      </c>
      <c r="O19" s="3">
        <v>3.4</v>
      </c>
      <c r="P19" s="3">
        <v>3.6</v>
      </c>
      <c r="Q19" s="3">
        <v>3.9</v>
      </c>
      <c r="R19" s="3">
        <v>3.8</v>
      </c>
      <c r="S19" s="3">
        <f>VLOOKUP(A19, Populatie!A:B, 2, 0)</f>
        <v>496.8</v>
      </c>
      <c r="T19" s="3">
        <f t="shared" si="0"/>
        <v>7.6489533011272135</v>
      </c>
      <c r="U19" s="3">
        <f t="shared" si="1"/>
        <v>1</v>
      </c>
    </row>
    <row r="20" spans="1:21">
      <c r="A20" t="s">
        <v>39</v>
      </c>
      <c r="B20" s="3">
        <v>0.3</v>
      </c>
      <c r="C20" s="3">
        <v>0.2</v>
      </c>
      <c r="D20" s="3">
        <v>0.2</v>
      </c>
      <c r="E20" s="3">
        <v>0.2</v>
      </c>
      <c r="F20" s="3">
        <v>0.2</v>
      </c>
      <c r="G20" s="3">
        <v>0.2</v>
      </c>
      <c r="H20" s="3">
        <v>0.3</v>
      </c>
      <c r="I20" s="3">
        <v>0.3</v>
      </c>
      <c r="J20" s="3">
        <v>0.2</v>
      </c>
      <c r="K20" s="3">
        <v>0.2</v>
      </c>
      <c r="L20" s="3">
        <v>0.3</v>
      </c>
      <c r="M20" s="3">
        <v>0.3</v>
      </c>
      <c r="N20" s="3">
        <v>0.3</v>
      </c>
      <c r="O20" s="3">
        <v>0.4</v>
      </c>
      <c r="P20" s="3">
        <v>0.4</v>
      </c>
      <c r="Q20" s="3">
        <v>0.4</v>
      </c>
      <c r="R20" s="3">
        <v>0.4</v>
      </c>
      <c r="S20" s="3">
        <f>VLOOKUP(A20, Populatie!A:B, 2, 0)</f>
        <v>262</v>
      </c>
      <c r="T20" s="3">
        <f t="shared" si="0"/>
        <v>1.5267175572519083</v>
      </c>
      <c r="U20" s="3">
        <f t="shared" si="1"/>
        <v>0.33333333333333348</v>
      </c>
    </row>
    <row r="21" spans="1:21">
      <c r="A21" t="s">
        <v>40</v>
      </c>
      <c r="B21" s="3">
        <v>0.6</v>
      </c>
      <c r="C21" s="3">
        <v>0.6</v>
      </c>
      <c r="D21" s="3">
        <v>0.6</v>
      </c>
      <c r="E21" s="3">
        <v>0.5</v>
      </c>
      <c r="F21" s="3">
        <v>0.6</v>
      </c>
      <c r="G21" s="3">
        <v>0.6</v>
      </c>
      <c r="H21" s="3">
        <v>0.5</v>
      </c>
      <c r="I21" s="3">
        <v>0.6</v>
      </c>
      <c r="J21" s="3">
        <v>0.6</v>
      </c>
      <c r="K21" s="3">
        <v>0.5</v>
      </c>
      <c r="L21" s="3">
        <v>0.6</v>
      </c>
      <c r="M21" s="3">
        <v>0.7</v>
      </c>
      <c r="N21" s="3">
        <v>0.7</v>
      </c>
      <c r="O21" s="3">
        <v>0.9</v>
      </c>
      <c r="P21" s="3">
        <v>0.9</v>
      </c>
      <c r="Q21" s="3">
        <v>0.9</v>
      </c>
      <c r="R21" s="3">
        <v>1</v>
      </c>
      <c r="S21" s="3">
        <f>VLOOKUP(A21, Populatie!A:B, 2, 0)</f>
        <v>314.60000000000002</v>
      </c>
      <c r="T21" s="3">
        <f t="shared" si="0"/>
        <v>3.1786395422759055</v>
      </c>
      <c r="U21" s="3">
        <f t="shared" si="1"/>
        <v>0.66666666666666674</v>
      </c>
    </row>
    <row r="22" spans="1:21">
      <c r="A22" t="s">
        <v>41</v>
      </c>
      <c r="B22" s="3">
        <v>0.8</v>
      </c>
      <c r="C22" s="3">
        <v>0.7</v>
      </c>
      <c r="D22" s="3">
        <v>1.4</v>
      </c>
      <c r="E22" s="3">
        <v>1.2</v>
      </c>
      <c r="F22" s="3">
        <v>2</v>
      </c>
      <c r="G22" s="3">
        <v>1.8</v>
      </c>
      <c r="H22" s="3">
        <v>1.7</v>
      </c>
      <c r="I22" s="3">
        <v>2.8</v>
      </c>
      <c r="J22" s="3">
        <v>3.1</v>
      </c>
      <c r="K22" s="3">
        <v>2.4</v>
      </c>
      <c r="L22" s="3">
        <v>1.8</v>
      </c>
      <c r="M22" s="3">
        <v>1.7</v>
      </c>
      <c r="N22" s="3">
        <v>1.9</v>
      </c>
      <c r="O22" s="3">
        <v>1.8</v>
      </c>
      <c r="P22" s="3">
        <v>1.9</v>
      </c>
      <c r="Q22" s="3">
        <v>1.8</v>
      </c>
      <c r="R22" s="3">
        <v>2.1</v>
      </c>
      <c r="S22" s="3">
        <f>VLOOKUP(A22, Populatie!A:B, 2, 0)</f>
        <v>291.89999999999998</v>
      </c>
      <c r="T22" s="3">
        <f t="shared" si="0"/>
        <v>7.1942446043165482</v>
      </c>
      <c r="U22" s="3">
        <f t="shared" si="1"/>
        <v>1.625</v>
      </c>
    </row>
    <row r="23" spans="1:21">
      <c r="A23" t="s">
        <v>42</v>
      </c>
      <c r="B23" s="3">
        <v>1</v>
      </c>
      <c r="C23" s="3">
        <v>1.1000000000000001</v>
      </c>
      <c r="D23" s="3">
        <v>1.5</v>
      </c>
      <c r="E23" s="3">
        <v>1.3</v>
      </c>
      <c r="F23" s="3">
        <v>1.8</v>
      </c>
      <c r="G23" s="3">
        <v>1.5</v>
      </c>
      <c r="H23" s="3">
        <v>1.2</v>
      </c>
      <c r="I23" s="3">
        <v>1.9</v>
      </c>
      <c r="J23" s="3">
        <v>2.1</v>
      </c>
      <c r="K23" s="3">
        <v>1.6</v>
      </c>
      <c r="L23" s="3">
        <v>1.1000000000000001</v>
      </c>
      <c r="M23" s="3">
        <v>1.1000000000000001</v>
      </c>
      <c r="N23" s="3">
        <v>1.2</v>
      </c>
      <c r="O23" s="3">
        <v>1.3</v>
      </c>
      <c r="P23" s="3">
        <v>1.3</v>
      </c>
      <c r="Q23" s="3">
        <v>1.3</v>
      </c>
      <c r="R23" s="3">
        <v>1.4</v>
      </c>
      <c r="S23" s="3">
        <f>VLOOKUP(A23, Populatie!A:B, 2, 0)</f>
        <v>361.6</v>
      </c>
      <c r="T23" s="3">
        <f t="shared" si="0"/>
        <v>3.8716814159292032</v>
      </c>
      <c r="U23" s="3">
        <f t="shared" si="1"/>
        <v>0.39999999999999991</v>
      </c>
    </row>
    <row r="24" spans="1:21">
      <c r="A24" t="s">
        <v>43</v>
      </c>
      <c r="B24" s="3">
        <v>0.4</v>
      </c>
      <c r="C24" s="3">
        <v>0.3</v>
      </c>
      <c r="D24" s="3">
        <v>0.2</v>
      </c>
      <c r="E24" s="3">
        <v>0.4</v>
      </c>
      <c r="F24" s="3">
        <v>0.5</v>
      </c>
      <c r="G24" s="3">
        <v>0.4</v>
      </c>
      <c r="H24" s="3">
        <v>0.4</v>
      </c>
      <c r="I24" s="3">
        <v>0.4</v>
      </c>
      <c r="J24" s="3">
        <v>0.4</v>
      </c>
      <c r="K24" s="3">
        <v>0.4</v>
      </c>
      <c r="L24" s="3">
        <v>0.4</v>
      </c>
      <c r="M24" s="3">
        <v>0.4</v>
      </c>
      <c r="N24" s="3">
        <v>0.5</v>
      </c>
      <c r="O24" s="3">
        <v>0.4</v>
      </c>
      <c r="P24" s="3">
        <v>0.4</v>
      </c>
      <c r="Q24" s="3">
        <v>0.4</v>
      </c>
      <c r="R24" s="3">
        <v>0.5</v>
      </c>
      <c r="S24" s="3">
        <f>VLOOKUP(A24, Populatie!A:B, 2, 0)</f>
        <v>250.8</v>
      </c>
      <c r="T24" s="3">
        <f t="shared" si="0"/>
        <v>1.9936204146730461</v>
      </c>
      <c r="U24" s="3">
        <f t="shared" si="1"/>
        <v>0.24999999999999994</v>
      </c>
    </row>
    <row r="25" spans="1:21">
      <c r="A25" t="s">
        <v>44</v>
      </c>
      <c r="B25" s="3">
        <v>3.5</v>
      </c>
      <c r="C25" s="3">
        <v>3.1</v>
      </c>
      <c r="D25" s="3">
        <v>3.8</v>
      </c>
      <c r="E25" s="3">
        <v>3.5</v>
      </c>
      <c r="F25" s="3">
        <v>5.0999999999999996</v>
      </c>
      <c r="G25" s="3">
        <v>5.2</v>
      </c>
      <c r="H25" s="3">
        <v>5.8</v>
      </c>
      <c r="I25" s="3">
        <v>6.9</v>
      </c>
      <c r="J25" s="3">
        <v>8.1</v>
      </c>
      <c r="K25" s="3">
        <v>10.199999999999999</v>
      </c>
      <c r="L25" s="3">
        <v>12</v>
      </c>
      <c r="M25" s="3">
        <v>13.9</v>
      </c>
      <c r="N25" s="3">
        <v>15.3</v>
      </c>
      <c r="O25" s="3">
        <v>17.5</v>
      </c>
      <c r="P25" s="3">
        <v>18.600000000000001</v>
      </c>
      <c r="Q25" s="3">
        <v>18.8</v>
      </c>
      <c r="R25" s="3">
        <v>18.899999999999999</v>
      </c>
      <c r="S25" s="3">
        <f>VLOOKUP(A25, Populatie!A:B, 2, 0)</f>
        <v>760.7</v>
      </c>
      <c r="T25" s="3">
        <f t="shared" si="0"/>
        <v>24.845537005389769</v>
      </c>
      <c r="U25" s="3">
        <f t="shared" si="1"/>
        <v>4.3999999999999995</v>
      </c>
    </row>
    <row r="26" spans="1:21">
      <c r="A26" t="s">
        <v>45</v>
      </c>
      <c r="B26" s="3">
        <v>2</v>
      </c>
      <c r="C26" s="3">
        <v>1.9</v>
      </c>
      <c r="D26" s="3">
        <v>1.7</v>
      </c>
      <c r="E26" s="3">
        <v>2.2000000000000002</v>
      </c>
      <c r="F26" s="3">
        <v>2.6</v>
      </c>
      <c r="G26" s="3">
        <v>3.4</v>
      </c>
      <c r="H26" s="3">
        <v>4</v>
      </c>
      <c r="I26" s="3">
        <v>4.5999999999999996</v>
      </c>
      <c r="J26" s="3">
        <v>5.3</v>
      </c>
      <c r="K26" s="3">
        <v>4.7</v>
      </c>
      <c r="L26" s="3">
        <v>4.8</v>
      </c>
      <c r="M26" s="3">
        <v>5</v>
      </c>
      <c r="N26" s="3">
        <v>5.0999999999999996</v>
      </c>
      <c r="O26" s="3">
        <v>4.8</v>
      </c>
      <c r="P26" s="3">
        <v>4.8</v>
      </c>
      <c r="Q26" s="3">
        <v>5.0999999999999996</v>
      </c>
      <c r="R26" s="3">
        <v>4.4000000000000004</v>
      </c>
      <c r="S26" s="3">
        <f>VLOOKUP(A26, Populatie!A:B, 2, 0)</f>
        <v>542.70000000000005</v>
      </c>
      <c r="T26" s="3">
        <f t="shared" si="0"/>
        <v>8.1076100976598493</v>
      </c>
      <c r="U26" s="3">
        <f t="shared" si="1"/>
        <v>1.2000000000000002</v>
      </c>
    </row>
    <row r="27" spans="1:21">
      <c r="A27" t="s">
        <v>46</v>
      </c>
      <c r="B27" s="3">
        <v>1.2</v>
      </c>
      <c r="C27" s="3">
        <v>0.8</v>
      </c>
      <c r="D27" s="3">
        <v>0.8</v>
      </c>
      <c r="E27" s="3">
        <v>0.8</v>
      </c>
      <c r="F27" s="3">
        <v>0.9</v>
      </c>
      <c r="G27" s="3">
        <v>1</v>
      </c>
      <c r="H27" s="3">
        <v>0.9</v>
      </c>
      <c r="I27" s="3">
        <v>1.1000000000000001</v>
      </c>
      <c r="J27" s="3">
        <v>1.2</v>
      </c>
      <c r="K27" s="3">
        <v>1.3</v>
      </c>
      <c r="L27" s="3">
        <v>1.3</v>
      </c>
      <c r="M27" s="3">
        <v>1.5</v>
      </c>
      <c r="N27" s="3">
        <v>1.5</v>
      </c>
      <c r="O27" s="3">
        <v>1.8</v>
      </c>
      <c r="P27" s="3">
        <v>1.8</v>
      </c>
      <c r="Q27" s="3">
        <v>1.9</v>
      </c>
      <c r="R27" s="3">
        <v>1.9</v>
      </c>
      <c r="S27" s="3">
        <f>VLOOKUP(A27, Populatie!A:B, 2, 0)</f>
        <v>452.4</v>
      </c>
      <c r="T27" s="3">
        <f t="shared" si="0"/>
        <v>4.1998231653404066</v>
      </c>
      <c r="U27" s="3">
        <f t="shared" si="1"/>
        <v>0.58333333333333337</v>
      </c>
    </row>
    <row r="28" spans="1:21">
      <c r="A28" t="s">
        <v>47</v>
      </c>
      <c r="B28" s="3">
        <v>0.4</v>
      </c>
      <c r="C28" s="3">
        <v>0.3</v>
      </c>
      <c r="D28" s="3">
        <v>0.3</v>
      </c>
      <c r="E28" s="3">
        <v>0.3</v>
      </c>
      <c r="F28" s="3">
        <v>0.3</v>
      </c>
      <c r="G28" s="3">
        <v>0.3</v>
      </c>
      <c r="H28" s="3">
        <v>0.3</v>
      </c>
      <c r="I28" s="3">
        <v>0.2</v>
      </c>
      <c r="J28" s="3">
        <v>0.2</v>
      </c>
      <c r="K28" s="3">
        <v>0.3</v>
      </c>
      <c r="L28" s="3">
        <v>0.2</v>
      </c>
      <c r="M28" s="3">
        <v>0.2</v>
      </c>
      <c r="N28" s="3">
        <v>0.2</v>
      </c>
      <c r="O28" s="3">
        <v>0.4</v>
      </c>
      <c r="P28" s="3">
        <v>0.4</v>
      </c>
      <c r="Q28" s="3">
        <v>0.4</v>
      </c>
      <c r="R28" s="3">
        <v>0.4</v>
      </c>
      <c r="S28" s="3">
        <f>VLOOKUP(A28, Populatie!A:B, 2, 0)</f>
        <v>234.3</v>
      </c>
      <c r="T28" s="3">
        <f t="shared" si="0"/>
        <v>1.7072129748186087</v>
      </c>
      <c r="U28" s="3">
        <f t="shared" si="1"/>
        <v>0</v>
      </c>
    </row>
    <row r="29" spans="1:21">
      <c r="A29" t="s">
        <v>48</v>
      </c>
      <c r="B29" s="3">
        <v>73.599999999999994</v>
      </c>
      <c r="C29" s="3">
        <v>70.5</v>
      </c>
      <c r="D29" s="3">
        <v>67.3</v>
      </c>
      <c r="E29" s="3">
        <v>71.400000000000006</v>
      </c>
      <c r="F29" s="3">
        <v>72.599999999999994</v>
      </c>
      <c r="G29" s="3">
        <v>71.8</v>
      </c>
      <c r="H29" s="3">
        <v>78.3</v>
      </c>
      <c r="I29" s="3">
        <v>82.6</v>
      </c>
      <c r="J29" s="3">
        <v>89.6</v>
      </c>
      <c r="K29" s="3">
        <v>92.9</v>
      </c>
      <c r="L29" s="3">
        <v>97.8</v>
      </c>
      <c r="M29" s="3">
        <v>101.8</v>
      </c>
      <c r="N29" s="3">
        <v>102.1</v>
      </c>
      <c r="O29" s="3">
        <v>105.1</v>
      </c>
      <c r="P29" s="3">
        <v>114.7</v>
      </c>
      <c r="Q29" s="3">
        <v>114.9</v>
      </c>
      <c r="R29" s="3">
        <v>121.2</v>
      </c>
      <c r="S29" s="3">
        <f>VLOOKUP(A29, Populatie!A:B, 2, 0)</f>
        <v>1716.9</v>
      </c>
      <c r="T29" s="3">
        <f t="shared" si="0"/>
        <v>70.592346671326226</v>
      </c>
      <c r="U29" s="3">
        <f t="shared" si="1"/>
        <v>0.64673913043478282</v>
      </c>
    </row>
    <row r="30" spans="1:21">
      <c r="A30" t="s">
        <v>49</v>
      </c>
      <c r="B30" s="3">
        <v>1.6</v>
      </c>
      <c r="C30" s="3">
        <v>1.4</v>
      </c>
      <c r="D30" s="3">
        <v>1.4</v>
      </c>
      <c r="E30" s="3">
        <v>1.6</v>
      </c>
      <c r="F30" s="3">
        <v>1.9</v>
      </c>
      <c r="G30" s="3">
        <v>2</v>
      </c>
      <c r="H30" s="3">
        <v>2.1</v>
      </c>
      <c r="I30" s="3">
        <v>2.5</v>
      </c>
      <c r="J30" s="3">
        <v>2.9</v>
      </c>
      <c r="K30" s="3">
        <v>2.9</v>
      </c>
      <c r="L30" s="3">
        <v>2.9</v>
      </c>
      <c r="M30" s="3">
        <v>3.1</v>
      </c>
      <c r="N30" s="3">
        <v>3.2</v>
      </c>
      <c r="O30" s="3">
        <v>3.7</v>
      </c>
      <c r="P30" s="3">
        <v>3.9</v>
      </c>
      <c r="Q30" s="3">
        <v>3.8</v>
      </c>
      <c r="R30" s="3">
        <v>4</v>
      </c>
      <c r="S30" s="3">
        <f>VLOOKUP(A30, Populatie!A:B, 2, 0)</f>
        <v>518.1</v>
      </c>
      <c r="T30" s="3">
        <f t="shared" si="0"/>
        <v>7.7205172746574018</v>
      </c>
      <c r="U30" s="3">
        <f t="shared" si="1"/>
        <v>1.4999999999999998</v>
      </c>
    </row>
    <row r="31" spans="1:21">
      <c r="A31" t="s">
        <v>50</v>
      </c>
      <c r="B31" s="3">
        <v>0.7</v>
      </c>
      <c r="C31" s="3">
        <v>0.8</v>
      </c>
      <c r="D31" s="3">
        <v>0.8</v>
      </c>
      <c r="E31" s="3">
        <v>0.9</v>
      </c>
      <c r="F31" s="3">
        <v>1.2</v>
      </c>
      <c r="G31" s="3">
        <v>1.1000000000000001</v>
      </c>
      <c r="H31" s="3">
        <v>1</v>
      </c>
      <c r="I31" s="3">
        <v>1.2</v>
      </c>
      <c r="J31" s="3">
        <v>1.3</v>
      </c>
      <c r="K31" s="3">
        <v>1.2</v>
      </c>
      <c r="L31" s="3">
        <v>1.1000000000000001</v>
      </c>
      <c r="M31" s="3">
        <v>1.2</v>
      </c>
      <c r="N31" s="3">
        <v>1.2</v>
      </c>
      <c r="O31" s="3">
        <v>1.3</v>
      </c>
      <c r="P31" s="3">
        <v>1.3</v>
      </c>
      <c r="Q31" s="3">
        <v>1.2</v>
      </c>
      <c r="R31" s="3">
        <v>1.2</v>
      </c>
      <c r="S31" s="3">
        <f>VLOOKUP(A31, Populatie!A:B, 2, 0)</f>
        <v>454.2</v>
      </c>
      <c r="T31" s="3">
        <f t="shared" si="0"/>
        <v>2.6420079260237781</v>
      </c>
      <c r="U31" s="3">
        <f t="shared" si="1"/>
        <v>0.7142857142857143</v>
      </c>
    </row>
    <row r="32" spans="1:21">
      <c r="A32" t="s">
        <v>51</v>
      </c>
      <c r="B32" s="3">
        <v>0.5</v>
      </c>
      <c r="C32" s="3">
        <v>0.4</v>
      </c>
      <c r="D32" s="3">
        <v>1.1000000000000001</v>
      </c>
      <c r="E32" s="3">
        <v>0.8</v>
      </c>
      <c r="F32" s="3">
        <v>1.4</v>
      </c>
      <c r="G32" s="3">
        <v>1.1000000000000001</v>
      </c>
      <c r="H32" s="3">
        <v>1</v>
      </c>
      <c r="I32" s="3">
        <v>1.8</v>
      </c>
      <c r="J32" s="3">
        <v>1.9</v>
      </c>
      <c r="K32" s="3">
        <v>1.3</v>
      </c>
      <c r="L32" s="3">
        <v>0.9</v>
      </c>
      <c r="M32" s="3">
        <v>0.9</v>
      </c>
      <c r="N32" s="3">
        <v>0.9</v>
      </c>
      <c r="O32" s="3">
        <v>0.9</v>
      </c>
      <c r="P32" s="3">
        <v>0.9</v>
      </c>
      <c r="Q32" s="3">
        <v>0.8</v>
      </c>
      <c r="R32" s="3">
        <v>1</v>
      </c>
      <c r="S32" s="3">
        <f>VLOOKUP(A32, Populatie!A:B, 2, 0)</f>
        <v>383.2</v>
      </c>
      <c r="T32" s="3">
        <f t="shared" si="0"/>
        <v>2.6096033402922756</v>
      </c>
      <c r="U32" s="3">
        <f t="shared" si="1"/>
        <v>1</v>
      </c>
    </row>
    <row r="33" spans="1:21">
      <c r="A33" t="s">
        <v>52</v>
      </c>
      <c r="B33" s="3">
        <v>2.8</v>
      </c>
      <c r="C33" s="3">
        <v>2.7</v>
      </c>
      <c r="D33" s="3">
        <v>4.4000000000000004</v>
      </c>
      <c r="E33" s="3">
        <v>4.0999999999999996</v>
      </c>
      <c r="F33" s="3">
        <v>4.2</v>
      </c>
      <c r="G33" s="3">
        <v>4</v>
      </c>
      <c r="H33" s="3">
        <v>3.9</v>
      </c>
      <c r="I33" s="3">
        <v>4.3</v>
      </c>
      <c r="J33" s="3">
        <v>4.2</v>
      </c>
      <c r="K33" s="3">
        <v>3.7</v>
      </c>
      <c r="L33" s="3">
        <v>3.3</v>
      </c>
      <c r="M33" s="3">
        <v>3.4</v>
      </c>
      <c r="N33" s="3">
        <v>3.3</v>
      </c>
      <c r="O33" s="3">
        <v>3.8</v>
      </c>
      <c r="P33" s="3">
        <v>4</v>
      </c>
      <c r="Q33" s="3">
        <v>4</v>
      </c>
      <c r="R33" s="3">
        <v>3.7</v>
      </c>
      <c r="S33" s="3">
        <f>VLOOKUP(A33, Populatie!A:B, 2, 0)</f>
        <v>695.1</v>
      </c>
      <c r="T33" s="3">
        <f t="shared" si="0"/>
        <v>5.322975111494749</v>
      </c>
      <c r="U33" s="3">
        <f t="shared" si="1"/>
        <v>0.32142857142857156</v>
      </c>
    </row>
    <row r="34" spans="1:21">
      <c r="A34" t="s">
        <v>53</v>
      </c>
      <c r="B34" s="3">
        <v>0.3</v>
      </c>
      <c r="C34" s="3">
        <v>0.4</v>
      </c>
      <c r="D34" s="3">
        <v>1</v>
      </c>
      <c r="E34" s="3">
        <v>0.9</v>
      </c>
      <c r="F34" s="3">
        <v>1.5</v>
      </c>
      <c r="G34" s="3">
        <v>1.1000000000000001</v>
      </c>
      <c r="H34" s="3">
        <v>0.9</v>
      </c>
      <c r="I34" s="3">
        <v>1.7</v>
      </c>
      <c r="J34" s="3">
        <v>1.9</v>
      </c>
      <c r="K34" s="3">
        <v>1.2</v>
      </c>
      <c r="L34" s="3">
        <v>0.7</v>
      </c>
      <c r="M34" s="3">
        <v>0.8</v>
      </c>
      <c r="N34" s="3">
        <v>0.8</v>
      </c>
      <c r="O34" s="3">
        <v>0.7</v>
      </c>
      <c r="P34" s="3">
        <v>0.7</v>
      </c>
      <c r="Q34" s="3">
        <v>0.8</v>
      </c>
      <c r="R34" s="3">
        <v>0.8</v>
      </c>
      <c r="S34" s="3">
        <f>VLOOKUP(A34, Populatie!A:B, 2, 0)</f>
        <v>212.2</v>
      </c>
      <c r="T34" s="3">
        <f t="shared" si="0"/>
        <v>3.7700282752120646</v>
      </c>
      <c r="U34" s="3">
        <f t="shared" si="1"/>
        <v>1.6666666666666667</v>
      </c>
    </row>
    <row r="35" spans="1:21">
      <c r="A35" t="s">
        <v>54</v>
      </c>
      <c r="B35" s="3">
        <v>0.6</v>
      </c>
      <c r="C35" s="3">
        <v>0.4</v>
      </c>
      <c r="D35" s="3">
        <v>1</v>
      </c>
      <c r="E35" s="3">
        <v>1</v>
      </c>
      <c r="F35" s="3">
        <v>1.6</v>
      </c>
      <c r="G35" s="3">
        <v>1.3</v>
      </c>
      <c r="H35" s="3">
        <v>1.1000000000000001</v>
      </c>
      <c r="I35" s="3">
        <v>1.9</v>
      </c>
      <c r="J35" s="3">
        <v>2.2000000000000002</v>
      </c>
      <c r="K35" s="3">
        <v>1.5</v>
      </c>
      <c r="L35" s="3">
        <v>1</v>
      </c>
      <c r="M35" s="3">
        <v>1</v>
      </c>
      <c r="N35" s="3">
        <v>1.5</v>
      </c>
      <c r="O35" s="3">
        <v>1.7</v>
      </c>
      <c r="P35" s="3">
        <v>1.8</v>
      </c>
      <c r="Q35" s="3">
        <v>1.8</v>
      </c>
      <c r="R35" s="3">
        <v>2</v>
      </c>
      <c r="S35" s="3">
        <f>VLOOKUP(A35, Populatie!A:B, 2, 0)</f>
        <v>330.6</v>
      </c>
      <c r="T35" s="3">
        <f t="shared" si="0"/>
        <v>6.0496067755595879</v>
      </c>
      <c r="U35" s="3">
        <f t="shared" si="1"/>
        <v>2.3333333333333335</v>
      </c>
    </row>
    <row r="36" spans="1:21">
      <c r="A36" t="s">
        <v>55</v>
      </c>
      <c r="B36" s="3">
        <v>1.9</v>
      </c>
      <c r="C36" s="3">
        <v>1.4</v>
      </c>
      <c r="D36" s="3">
        <v>2</v>
      </c>
      <c r="E36" s="3">
        <v>2</v>
      </c>
      <c r="F36" s="3">
        <v>3</v>
      </c>
      <c r="G36" s="3">
        <v>2.7</v>
      </c>
      <c r="H36" s="3">
        <v>2.7</v>
      </c>
      <c r="I36" s="3">
        <v>3.7</v>
      </c>
      <c r="J36" s="3">
        <v>4.0999999999999996</v>
      </c>
      <c r="K36" s="3">
        <v>3.7</v>
      </c>
      <c r="L36" s="3">
        <v>3.7</v>
      </c>
      <c r="M36" s="3">
        <v>4</v>
      </c>
      <c r="N36" s="3">
        <v>4.2</v>
      </c>
      <c r="O36" s="3">
        <v>5</v>
      </c>
      <c r="P36" s="3">
        <v>6</v>
      </c>
      <c r="Q36" s="3">
        <v>5.9</v>
      </c>
      <c r="R36" s="3">
        <v>6</v>
      </c>
      <c r="S36" s="3">
        <f>VLOOKUP(A36, Populatie!A:B, 2, 0)</f>
        <v>388.3</v>
      </c>
      <c r="T36" s="3">
        <f t="shared" si="0"/>
        <v>15.451970126191089</v>
      </c>
      <c r="U36" s="3">
        <f t="shared" si="1"/>
        <v>2.1578947368421053</v>
      </c>
    </row>
    <row r="37" spans="1:21">
      <c r="A37" t="s">
        <v>56</v>
      </c>
      <c r="B37" s="3">
        <v>1</v>
      </c>
      <c r="C37" s="3">
        <v>0.9</v>
      </c>
      <c r="D37" s="3">
        <v>1.4</v>
      </c>
      <c r="E37" s="3">
        <v>1.2</v>
      </c>
      <c r="F37" s="3">
        <v>2</v>
      </c>
      <c r="G37" s="3">
        <v>1.8</v>
      </c>
      <c r="H37" s="3">
        <v>1.7</v>
      </c>
      <c r="I37" s="3">
        <v>2.8</v>
      </c>
      <c r="J37" s="3">
        <v>3</v>
      </c>
      <c r="K37" s="3">
        <v>2.4</v>
      </c>
      <c r="L37" s="3">
        <v>1.9</v>
      </c>
      <c r="M37" s="3">
        <v>1.8</v>
      </c>
      <c r="N37" s="3">
        <v>1.7</v>
      </c>
      <c r="O37" s="3">
        <v>1.8</v>
      </c>
      <c r="P37" s="3">
        <v>1.8</v>
      </c>
      <c r="Q37" s="3">
        <v>1.9</v>
      </c>
      <c r="R37" s="3">
        <v>2.1</v>
      </c>
      <c r="S37" s="3">
        <f>VLOOKUP(A37, Populatie!A:B, 2, 0)</f>
        <v>642.5</v>
      </c>
      <c r="T37" s="3">
        <f t="shared" si="0"/>
        <v>3.2684824902723735</v>
      </c>
      <c r="U37" s="3">
        <f t="shared" si="1"/>
        <v>1.1000000000000001</v>
      </c>
    </row>
    <row r="38" spans="1:21">
      <c r="A38" t="s">
        <v>57</v>
      </c>
      <c r="B38" s="3">
        <v>0.6</v>
      </c>
      <c r="C38" s="3">
        <v>0.5</v>
      </c>
      <c r="D38" s="3">
        <v>0.4</v>
      </c>
      <c r="E38" s="3">
        <v>0.5</v>
      </c>
      <c r="F38" s="3">
        <v>0.8</v>
      </c>
      <c r="G38" s="3">
        <v>0.5</v>
      </c>
      <c r="H38" s="3">
        <v>0.4</v>
      </c>
      <c r="I38" s="3">
        <v>0.4</v>
      </c>
      <c r="J38" s="3">
        <v>0.4</v>
      </c>
      <c r="K38" s="3">
        <v>0.3</v>
      </c>
      <c r="L38" s="3">
        <v>0.3</v>
      </c>
      <c r="M38" s="3">
        <v>0.4</v>
      </c>
      <c r="N38" s="3">
        <v>0.4</v>
      </c>
      <c r="O38" s="3">
        <v>0.5</v>
      </c>
      <c r="P38" s="3">
        <v>0.5</v>
      </c>
      <c r="Q38" s="3">
        <v>0.5</v>
      </c>
      <c r="R38" s="3">
        <v>0.5</v>
      </c>
      <c r="S38" s="3">
        <f>VLOOKUP(A38, Populatie!A:B, 2, 0)</f>
        <v>323.5</v>
      </c>
      <c r="T38" s="3">
        <f t="shared" si="0"/>
        <v>1.5455950540958268</v>
      </c>
      <c r="U38" s="3">
        <f t="shared" si="1"/>
        <v>-0.16666666666666663</v>
      </c>
    </row>
    <row r="39" spans="1:21">
      <c r="A39" t="s">
        <v>58</v>
      </c>
      <c r="B39" s="3">
        <v>9.1</v>
      </c>
      <c r="C39" s="3">
        <v>9.5</v>
      </c>
      <c r="D39" s="3">
        <v>8.9</v>
      </c>
      <c r="E39" s="3">
        <v>8.3000000000000007</v>
      </c>
      <c r="F39" s="3">
        <v>8.6</v>
      </c>
      <c r="G39" s="3">
        <v>8.9</v>
      </c>
      <c r="H39" s="3">
        <v>8.9</v>
      </c>
      <c r="I39" s="3">
        <v>11.5</v>
      </c>
      <c r="J39" s="3">
        <v>13</v>
      </c>
      <c r="K39" s="3">
        <v>15.3</v>
      </c>
      <c r="L39" s="3">
        <v>16.7</v>
      </c>
      <c r="M39" s="3">
        <v>17.100000000000001</v>
      </c>
      <c r="N39" s="3">
        <v>18.7</v>
      </c>
      <c r="O39" s="3">
        <v>21.6</v>
      </c>
      <c r="P39" s="3">
        <v>23.9</v>
      </c>
      <c r="Q39" s="3">
        <v>26.2</v>
      </c>
      <c r="R39" s="3">
        <v>24</v>
      </c>
      <c r="S39" s="3">
        <f>VLOOKUP(A39, Populatie!A:B, 2, 0)</f>
        <v>650.5</v>
      </c>
      <c r="T39" s="3">
        <f t="shared" si="0"/>
        <v>36.894696387394312</v>
      </c>
      <c r="U39" s="3">
        <f t="shared" si="1"/>
        <v>1.6373626373626375</v>
      </c>
    </row>
    <row r="40" spans="1:21">
      <c r="A40" t="s">
        <v>59</v>
      </c>
      <c r="B40" s="3">
        <v>0.4</v>
      </c>
      <c r="C40" s="3">
        <v>0.3</v>
      </c>
      <c r="D40" s="3">
        <v>1</v>
      </c>
      <c r="E40" s="3">
        <v>0.8</v>
      </c>
      <c r="F40" s="3">
        <v>1.3</v>
      </c>
      <c r="G40" s="3">
        <v>1.1000000000000001</v>
      </c>
      <c r="H40" s="3">
        <v>0.9</v>
      </c>
      <c r="I40" s="3">
        <v>1.6</v>
      </c>
      <c r="J40" s="3">
        <v>1.7</v>
      </c>
      <c r="K40" s="3">
        <v>1.1000000000000001</v>
      </c>
      <c r="L40" s="3">
        <v>0.6</v>
      </c>
      <c r="M40" s="3">
        <v>0.6</v>
      </c>
      <c r="N40" s="3">
        <v>0.8</v>
      </c>
      <c r="O40" s="3">
        <v>0.7</v>
      </c>
      <c r="P40" s="3">
        <v>0.6</v>
      </c>
      <c r="Q40" s="3">
        <v>0.6</v>
      </c>
      <c r="R40" s="3">
        <v>0.8</v>
      </c>
      <c r="S40" s="3">
        <f>VLOOKUP(A40, Populatie!A:B, 2, 0)</f>
        <v>193.3</v>
      </c>
      <c r="T40" s="3">
        <f t="shared" si="0"/>
        <v>4.1386445938954992</v>
      </c>
      <c r="U40" s="3">
        <f t="shared" si="1"/>
        <v>1</v>
      </c>
    </row>
    <row r="41" spans="1:21">
      <c r="A41" t="s">
        <v>60</v>
      </c>
      <c r="B41" s="3">
        <v>0.8</v>
      </c>
      <c r="C41" s="3">
        <v>0.8</v>
      </c>
      <c r="D41" s="3">
        <v>1.4</v>
      </c>
      <c r="E41" s="3">
        <v>1.1000000000000001</v>
      </c>
      <c r="F41" s="3">
        <v>1.9</v>
      </c>
      <c r="G41" s="3">
        <v>1.7</v>
      </c>
      <c r="H41" s="3">
        <v>1.4</v>
      </c>
      <c r="I41" s="3">
        <v>2.1</v>
      </c>
      <c r="J41" s="3">
        <v>2.2999999999999998</v>
      </c>
      <c r="K41" s="3">
        <v>1.8</v>
      </c>
      <c r="L41" s="3">
        <v>1.3</v>
      </c>
      <c r="M41" s="3">
        <v>1.3</v>
      </c>
      <c r="N41" s="3">
        <v>1.4</v>
      </c>
      <c r="O41" s="3">
        <v>1.4</v>
      </c>
      <c r="P41" s="3">
        <v>1.4</v>
      </c>
      <c r="Q41" s="3">
        <v>1.5</v>
      </c>
      <c r="R41" s="3">
        <v>1.6</v>
      </c>
      <c r="S41" s="3">
        <f>VLOOKUP(A41, Populatie!A:B, 2, 0)</f>
        <v>341.8</v>
      </c>
      <c r="T41" s="3">
        <f t="shared" si="0"/>
        <v>4.681100058513751</v>
      </c>
      <c r="U41" s="3">
        <f t="shared" si="1"/>
        <v>1</v>
      </c>
    </row>
    <row r="42" spans="1:21">
      <c r="A42" t="s">
        <v>61</v>
      </c>
      <c r="B42" s="3">
        <v>0.4</v>
      </c>
      <c r="C42" s="3">
        <v>0.3</v>
      </c>
      <c r="D42" s="3">
        <v>0.9</v>
      </c>
      <c r="E42" s="3">
        <v>0.7</v>
      </c>
      <c r="F42" s="3">
        <v>1.3</v>
      </c>
      <c r="G42" s="3">
        <v>1.1000000000000001</v>
      </c>
      <c r="H42" s="3">
        <v>0.9</v>
      </c>
      <c r="I42" s="3">
        <v>1.5</v>
      </c>
      <c r="J42" s="3">
        <v>1.6</v>
      </c>
      <c r="K42" s="3">
        <v>1.2</v>
      </c>
      <c r="L42" s="3">
        <v>0.7</v>
      </c>
      <c r="M42" s="3">
        <v>0.7</v>
      </c>
      <c r="N42" s="3">
        <v>0.8</v>
      </c>
      <c r="O42" s="3">
        <v>0.8</v>
      </c>
      <c r="P42" s="3">
        <v>0.8</v>
      </c>
      <c r="Q42" s="3">
        <v>0.8</v>
      </c>
      <c r="R42" s="3">
        <v>0.9</v>
      </c>
      <c r="S42" s="3">
        <f>VLOOKUP(A42, Populatie!A:B, 2, 0)</f>
        <v>374.7</v>
      </c>
      <c r="T42" s="3">
        <f t="shared" si="0"/>
        <v>2.401921537229784</v>
      </c>
      <c r="U42" s="3">
        <f t="shared" si="1"/>
        <v>1.25</v>
      </c>
    </row>
    <row r="43" spans="1:21">
      <c r="A43" t="s">
        <v>62</v>
      </c>
      <c r="B43" s="3">
        <v>0.5</v>
      </c>
      <c r="C43" s="3">
        <v>0.5</v>
      </c>
      <c r="D43" s="3">
        <v>1</v>
      </c>
      <c r="E43" s="3">
        <v>0.8</v>
      </c>
      <c r="F43" s="3">
        <v>1.5</v>
      </c>
      <c r="G43" s="3">
        <v>1.2</v>
      </c>
      <c r="H43" s="3">
        <v>0.9</v>
      </c>
      <c r="I43" s="3">
        <v>1.6</v>
      </c>
      <c r="J43" s="3">
        <v>1.8</v>
      </c>
      <c r="K43" s="3">
        <v>1.3</v>
      </c>
      <c r="L43" s="3">
        <v>0.8</v>
      </c>
      <c r="M43" s="3">
        <v>0.8</v>
      </c>
      <c r="N43" s="3">
        <v>1</v>
      </c>
      <c r="O43" s="3">
        <v>1.1000000000000001</v>
      </c>
      <c r="P43" s="3">
        <v>1.1000000000000001</v>
      </c>
      <c r="Q43" s="3">
        <v>1.1000000000000001</v>
      </c>
      <c r="R43" s="3">
        <v>1.1000000000000001</v>
      </c>
      <c r="S43" s="3">
        <f>VLOOKUP(A43, Populatie!A:B, 2, 0)</f>
        <v>335.3</v>
      </c>
      <c r="T43" s="3">
        <f t="shared" si="0"/>
        <v>3.2806441992245752</v>
      </c>
      <c r="U43" s="3">
        <f t="shared" si="1"/>
        <v>1.2000000000000002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7AC2-2F4B-41BB-A714-D7604A1D220C}">
  <dimension ref="A1:B43"/>
  <sheetViews>
    <sheetView workbookViewId="0">
      <selection activeCell="E5" sqref="E5"/>
    </sheetView>
  </sheetViews>
  <sheetFormatPr defaultColWidth="8.85546875" defaultRowHeight="15"/>
  <sheetData>
    <row r="1" spans="1:2">
      <c r="A1" s="1" t="s">
        <v>63</v>
      </c>
      <c r="B1" s="1" t="s">
        <v>64</v>
      </c>
    </row>
    <row r="2" spans="1:2">
      <c r="A2" s="1" t="s">
        <v>21</v>
      </c>
      <c r="B2" s="2">
        <v>325.89999999999998</v>
      </c>
    </row>
    <row r="3" spans="1:2">
      <c r="A3" s="1" t="s">
        <v>22</v>
      </c>
      <c r="B3" s="2">
        <v>410.1</v>
      </c>
    </row>
    <row r="4" spans="1:2">
      <c r="A4" s="1" t="s">
        <v>23</v>
      </c>
      <c r="B4" s="2">
        <v>569.9</v>
      </c>
    </row>
    <row r="5" spans="1:2">
      <c r="A5" s="1" t="s">
        <v>24</v>
      </c>
      <c r="B5" s="2">
        <v>601.29999999999995</v>
      </c>
    </row>
    <row r="6" spans="1:2">
      <c r="A6" s="1" t="s">
        <v>25</v>
      </c>
      <c r="B6" s="2">
        <v>551.20000000000005</v>
      </c>
    </row>
    <row r="7" spans="1:2">
      <c r="A7" s="1" t="s">
        <v>26</v>
      </c>
      <c r="B7" s="2">
        <v>295.89999999999998</v>
      </c>
    </row>
    <row r="8" spans="1:2">
      <c r="A8" s="1" t="s">
        <v>27</v>
      </c>
      <c r="B8" s="2">
        <v>392.8</v>
      </c>
    </row>
    <row r="9" spans="1:2">
      <c r="A9" s="1" t="s">
        <v>29</v>
      </c>
      <c r="B9" s="2">
        <v>546.6</v>
      </c>
    </row>
    <row r="10" spans="1:2">
      <c r="A10" s="1" t="s">
        <v>28</v>
      </c>
      <c r="B10" s="2">
        <v>281.39999999999998</v>
      </c>
    </row>
    <row r="11" spans="1:2">
      <c r="A11" s="1" t="s">
        <v>48</v>
      </c>
      <c r="B11" s="2">
        <v>1716.9</v>
      </c>
    </row>
    <row r="12" spans="1:2">
      <c r="A12" s="1" t="s">
        <v>30</v>
      </c>
      <c r="B12" s="2">
        <v>404.9</v>
      </c>
    </row>
    <row r="13" spans="1:2">
      <c r="A13" s="1" t="s">
        <v>32</v>
      </c>
      <c r="B13" s="2">
        <v>246.5</v>
      </c>
    </row>
    <row r="14" spans="1:2">
      <c r="A14" s="1" t="s">
        <v>31</v>
      </c>
      <c r="B14" s="2">
        <v>283.39999999999998</v>
      </c>
    </row>
    <row r="15" spans="1:2">
      <c r="A15" s="1" t="s">
        <v>33</v>
      </c>
      <c r="B15" s="2">
        <v>679.1</v>
      </c>
    </row>
    <row r="16" spans="1:2">
      <c r="A16" s="1" t="s">
        <v>34</v>
      </c>
      <c r="B16" s="2">
        <v>655.9</v>
      </c>
    </row>
    <row r="17" spans="1:2">
      <c r="A17" s="1" t="s">
        <v>35</v>
      </c>
      <c r="B17" s="2">
        <v>200</v>
      </c>
    </row>
    <row r="18" spans="1:2">
      <c r="A18" s="1" t="s">
        <v>36</v>
      </c>
      <c r="B18" s="2">
        <v>479.4</v>
      </c>
    </row>
    <row r="19" spans="1:2">
      <c r="A19" s="1" t="s">
        <v>37</v>
      </c>
      <c r="B19" s="2">
        <v>599.4</v>
      </c>
    </row>
    <row r="20" spans="1:2">
      <c r="A20" s="1" t="s">
        <v>38</v>
      </c>
      <c r="B20" s="2">
        <v>496.8</v>
      </c>
    </row>
    <row r="21" spans="1:2">
      <c r="A21" s="1" t="s">
        <v>39</v>
      </c>
      <c r="B21" s="2">
        <v>262</v>
      </c>
    </row>
    <row r="22" spans="1:2">
      <c r="A22" s="1" t="s">
        <v>40</v>
      </c>
      <c r="B22" s="2">
        <v>314.60000000000002</v>
      </c>
    </row>
    <row r="23" spans="1:2">
      <c r="A23" s="1" t="s">
        <v>41</v>
      </c>
      <c r="B23" s="2">
        <v>291.89999999999998</v>
      </c>
    </row>
    <row r="24" spans="1:2">
      <c r="A24" s="1" t="s">
        <v>42</v>
      </c>
      <c r="B24" s="2">
        <v>361.6</v>
      </c>
    </row>
    <row r="25" spans="1:2">
      <c r="A25" s="1" t="s">
        <v>43</v>
      </c>
      <c r="B25" s="2">
        <v>250.8</v>
      </c>
    </row>
    <row r="26" spans="1:2">
      <c r="A26" s="1" t="s">
        <v>44</v>
      </c>
      <c r="B26" s="2">
        <v>760.7</v>
      </c>
    </row>
    <row r="27" spans="1:2">
      <c r="A27" s="1" t="s">
        <v>45</v>
      </c>
      <c r="B27" s="2">
        <v>542.70000000000005</v>
      </c>
    </row>
    <row r="28" spans="1:2">
      <c r="A28" s="1" t="s">
        <v>46</v>
      </c>
      <c r="B28" s="2">
        <v>452.4</v>
      </c>
    </row>
    <row r="29" spans="1:2">
      <c r="A29" s="1" t="s">
        <v>47</v>
      </c>
      <c r="B29" s="2">
        <v>234.3</v>
      </c>
    </row>
    <row r="30" spans="1:2">
      <c r="A30" s="1" t="s">
        <v>49</v>
      </c>
      <c r="B30" s="2">
        <v>518.1</v>
      </c>
    </row>
    <row r="31" spans="1:2">
      <c r="A31" s="1" t="s">
        <v>50</v>
      </c>
      <c r="B31" s="2">
        <v>454.2</v>
      </c>
    </row>
    <row r="32" spans="1:2">
      <c r="A32" s="1" t="s">
        <v>51</v>
      </c>
      <c r="B32" s="2">
        <v>383.2</v>
      </c>
    </row>
    <row r="33" spans="1:2">
      <c r="A33" s="1" t="s">
        <v>52</v>
      </c>
      <c r="B33" s="2">
        <v>695.1</v>
      </c>
    </row>
    <row r="34" spans="1:2">
      <c r="A34" s="1" t="s">
        <v>54</v>
      </c>
      <c r="B34" s="2">
        <v>330.6</v>
      </c>
    </row>
    <row r="35" spans="1:2">
      <c r="A35" s="1" t="s">
        <v>53</v>
      </c>
      <c r="B35" s="2">
        <v>212.2</v>
      </c>
    </row>
    <row r="36" spans="1:2">
      <c r="A36" s="1" t="s">
        <v>55</v>
      </c>
      <c r="B36" s="2">
        <v>388.3</v>
      </c>
    </row>
    <row r="37" spans="1:2">
      <c r="A37" s="1" t="s">
        <v>56</v>
      </c>
      <c r="B37" s="2">
        <v>642.5</v>
      </c>
    </row>
    <row r="38" spans="1:2">
      <c r="A38" s="1" t="s">
        <v>57</v>
      </c>
      <c r="B38" s="2">
        <v>323.5</v>
      </c>
    </row>
    <row r="39" spans="1:2">
      <c r="A39" s="1" t="s">
        <v>58</v>
      </c>
      <c r="B39" s="2">
        <v>650.5</v>
      </c>
    </row>
    <row r="40" spans="1:2">
      <c r="A40" s="1" t="s">
        <v>59</v>
      </c>
      <c r="B40" s="2">
        <v>193.3</v>
      </c>
    </row>
    <row r="41" spans="1:2">
      <c r="A41" s="1" t="s">
        <v>61</v>
      </c>
      <c r="B41" s="2">
        <v>374.7</v>
      </c>
    </row>
    <row r="42" spans="1:2">
      <c r="A42" s="1" t="s">
        <v>60</v>
      </c>
      <c r="B42" s="2">
        <v>341.8</v>
      </c>
    </row>
    <row r="43" spans="1:2">
      <c r="A43" s="1" t="s">
        <v>62</v>
      </c>
      <c r="B43" s="2">
        <v>335.3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1EF6-7272-48B3-8F32-CECB3DCB4322}">
  <dimension ref="O3"/>
  <sheetViews>
    <sheetView showGridLines="0" topLeftCell="A3" workbookViewId="0">
      <selection activeCell="G32" sqref="G32"/>
    </sheetView>
  </sheetViews>
  <sheetFormatPr defaultColWidth="8.85546875" defaultRowHeight="15"/>
  <sheetData>
    <row r="3" spans="15:15">
      <c r="O3" t="s">
        <v>65</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2025-12-21T15:43:43Z</dcterms:created>
  <dcterms:modified xsi:type="dcterms:W3CDTF">2025-12-21T21:29:36Z</dcterms:modified>
  <cp:category/>
  <cp:contentStatus/>
</cp:coreProperties>
</file>